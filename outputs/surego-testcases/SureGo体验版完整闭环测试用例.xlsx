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与汇总" sheetId="1" state="visible" r:id="rId1"/>
    <sheet xmlns:r="http://schemas.openxmlformats.org/officeDocument/2006/relationships" name="01_前置检查" sheetId="2" state="visible" r:id="rId2"/>
    <sheet xmlns:r="http://schemas.openxmlformats.org/officeDocument/2006/relationships" name="02_测试账号" sheetId="3" state="visible" r:id="rId3"/>
    <sheet xmlns:r="http://schemas.openxmlformats.org/officeDocument/2006/relationships" name="03_E2E闭环" sheetId="4" state="visible" r:id="rId4"/>
    <sheet xmlns:r="http://schemas.openxmlformats.org/officeDocument/2006/relationships" name="04_异常边界" sheetId="5" state="visible" r:id="rId5"/>
    <sheet xmlns:r="http://schemas.openxmlformats.org/officeDocument/2006/relationships" name="05_UI兼容" sheetId="6" state="visible" r:id="rId6"/>
    <sheet xmlns:r="http://schemas.openxmlformats.org/officeDocument/2006/relationships" name="06_静态检查" sheetId="7" state="visible" r:id="rId7"/>
    <sheet xmlns:r="http://schemas.openxmlformats.org/officeDocument/2006/relationships" name="07_通过标准" sheetId="8" state="visible" r:id="rId8"/>
  </sheets>
  <definedNames>
    <definedName name="_xlnm._FilterDatabase" localSheetId="1" hidden="1">'01_前置检查'!$A$1:$F$10</definedName>
    <definedName name="_xlnm._FilterDatabase" localSheetId="2" hidden="1">'02_测试账号'!$A$1:$H$3</definedName>
    <definedName name="_xlnm._FilterDatabase" localSheetId="3" hidden="1">'03_E2E闭环'!$A$1:$M$49</definedName>
    <definedName name="_xlnm._FilterDatabase" localSheetId="4" hidden="1">'04_异常边界'!$A$1:$M$13</definedName>
    <definedName name="_xlnm._FilterDatabase" localSheetId="5" hidden="1">'05_UI兼容'!$A$1:$M$7</definedName>
    <definedName name="_xlnm._FilterDatabase" localSheetId="6" hidden="1">'06_静态检查'!$A$1:$J$7</definedName>
    <definedName name="_xlnm._FilterDatabase" localSheetId="7" hidden="1">'07_通过标准'!$A$1:$D$4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172A"/>
      <sz val="18"/>
    </font>
    <font>
      <b val="1"/>
      <color rgb="00FFFFFF"/>
    </font>
    <font>
      <b val="1"/>
      <color rgb="00FFFFFF"/>
      <sz val="11"/>
    </font>
    <font>
      <color rgb="00111827"/>
      <sz val="10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PreflightTable" displayName="PreflightTable" ref="A1:F10" headerRowCount="1">
  <autoFilter ref="A1:F10"/>
  <tableColumns count="6">
    <tableColumn id="1" name="项目"/>
    <tableColumn id="2" name="要求"/>
    <tableColumn id="3" name="验证方法"/>
    <tableColumn id="4" name="实际结果"/>
    <tableColumn id="5" name="状态"/>
    <tableColumn id="6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ccountsTable" displayName="AccountsTable" ref="A1:H3" headerRowCount="1">
  <autoFilter ref="A1:H3"/>
  <tableColumns count="8">
    <tableColumn id="1" name="账号"/>
    <tableColumn id="2" name="角色"/>
    <tableColumn id="3" name="用途"/>
    <tableColumn id="4" name="微信昵称/备注"/>
    <tableColumn id="5" name="测试设备"/>
    <tableColumn id="6" name="登录结果"/>
    <tableColumn id="7" name="UID"/>
    <tableColumn id="8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E2E闭环" displayName="03E2E闭环" ref="A1:M49" headerRowCount="1">
  <autoFilter ref="A1:M49"/>
  <tableColumns count="13">
    <tableColumn id="1" name="用例ID"/>
    <tableColumn id="2" name="模块"/>
    <tableColumn id="3" name="优先级"/>
    <tableColumn id="4" name="测试类型"/>
    <tableColumn id="5" name="前置条件"/>
    <tableColumn id="6" name="测试步骤"/>
    <tableColumn id="7" name="预期结果"/>
    <tableColumn id="8" name="实际结果"/>
    <tableColumn id="9" name="状态"/>
    <tableColumn id="10" name="缺陷ID"/>
    <tableColumn id="11" name="负责人"/>
    <tableColumn id="12" name="测试时间"/>
    <tableColumn id="13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异常边界" displayName="04异常边界" ref="A1:M13" headerRowCount="1">
  <autoFilter ref="A1:M13"/>
  <tableColumns count="13">
    <tableColumn id="1" name="用例ID"/>
    <tableColumn id="2" name="模块"/>
    <tableColumn id="3" name="优先级"/>
    <tableColumn id="4" name="测试类型"/>
    <tableColumn id="5" name="前置条件"/>
    <tableColumn id="6" name="测试步骤"/>
    <tableColumn id="7" name="预期结果"/>
    <tableColumn id="8" name="实际结果"/>
    <tableColumn id="9" name="状态"/>
    <tableColumn id="10" name="缺陷ID"/>
    <tableColumn id="11" name="负责人"/>
    <tableColumn id="12" name="测试时间"/>
    <tableColumn id="13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UI兼容" displayName="05UI兼容" ref="A1:M7" headerRowCount="1">
  <autoFilter ref="A1:M7"/>
  <tableColumns count="13">
    <tableColumn id="1" name="用例ID"/>
    <tableColumn id="2" name="模块"/>
    <tableColumn id="3" name="优先级"/>
    <tableColumn id="4" name="测试类型"/>
    <tableColumn id="5" name="前置条件"/>
    <tableColumn id="6" name="测试步骤"/>
    <tableColumn id="7" name="预期结果"/>
    <tableColumn id="8" name="实际结果"/>
    <tableColumn id="9" name="状态"/>
    <tableColumn id="10" name="缺陷ID"/>
    <tableColumn id="11" name="负责人"/>
    <tableColumn id="12" name="测试时间"/>
    <tableColumn id="13" name="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taticChecksTable" displayName="StaticChecksTable" ref="A1:J7" headerRowCount="1">
  <autoFilter ref="A1:J7"/>
  <tableColumns count="10">
    <tableColumn id="1" name="检查ID"/>
    <tableColumn id="2" name="检查项"/>
    <tableColumn id="3" name="优先级"/>
    <tableColumn id="4" name="检查方法"/>
    <tableColumn id="5" name="预期结果"/>
    <tableColumn id="6" name="实际结果"/>
    <tableColumn id="7" name="状态"/>
    <tableColumn id="8" name="缺陷ID"/>
    <tableColumn id="9" name="负责人"/>
    <tableColumn id="10" name="备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riteriaTable" displayName="CriteriaTable" ref="A1:D4" headerRowCount="1">
  <autoFilter ref="A1:D4"/>
  <tableColumns count="4">
    <tableColumn id="1" name="等级"/>
    <tableColumn id="2" name="通过标准"/>
    <tableColumn id="3" name="判定结果"/>
    <tableColumn id="4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" customWidth="1" min="3" max="3"/>
    <col width="48" customWidth="1" min="4" max="4"/>
    <col width="24" customWidth="1" min="5" max="5"/>
    <col width="4" customWidth="1" min="6" max="6"/>
  </cols>
  <sheetData>
    <row r="1" ht="28" customHeight="1">
      <c r="A1" s="1" t="inlineStr">
        <is>
          <t>SureGo 体验版完整闭环测试用例</t>
        </is>
      </c>
      <c r="B1" s="2" t="n"/>
      <c r="C1" s="2" t="n"/>
      <c r="D1" s="2" t="n"/>
      <c r="E1" s="2" t="n"/>
      <c r="F1" s="2" t="n"/>
    </row>
    <row r="2" ht="42" customHeight="1">
      <c r="A2" s="2" t="inlineStr">
        <is>
          <t>适用范围：体验版 / uniCloud 云端试运营模式 / 不接真实微信支付</t>
        </is>
      </c>
      <c r="B2" s="2" t="n"/>
      <c r="C2" s="2" t="n"/>
      <c r="D2" s="2" t="n"/>
      <c r="E2" s="2" t="n"/>
      <c r="F2" s="2" t="n"/>
    </row>
    <row r="3" ht="42" customHeight="1">
      <c r="A3" s="2" t="inlineStr">
        <is>
          <t>填写说明：执行测试后在各用例 Sheet 填写实际结果、状态、缺陷ID、负责人和备注。</t>
        </is>
      </c>
      <c r="B3" s="2" t="n"/>
      <c r="C3" s="2" t="n"/>
      <c r="D3" s="2" t="n"/>
      <c r="E3" s="2" t="n"/>
      <c r="F3" s="2" t="n"/>
    </row>
    <row r="4" ht="42" customHeight="1">
      <c r="A4" s="2" t="n"/>
      <c r="B4" s="2" t="n"/>
      <c r="C4" s="2" t="n"/>
      <c r="D4" s="2" t="n"/>
      <c r="E4" s="2" t="n"/>
      <c r="F4" s="2" t="n"/>
    </row>
    <row r="5" ht="42" customHeight="1">
      <c r="A5" s="3" t="inlineStr">
        <is>
          <t>统计项</t>
        </is>
      </c>
      <c r="B5" s="3" t="inlineStr">
        <is>
          <t>数量</t>
        </is>
      </c>
      <c r="C5" s="2" t="n"/>
      <c r="D5" s="3" t="inlineStr">
        <is>
          <t>试运营建议</t>
        </is>
      </c>
      <c r="E5" s="3" t="inlineStr">
        <is>
          <t>判定</t>
        </is>
      </c>
      <c r="F5" s="2" t="n"/>
    </row>
    <row r="6" ht="42" customHeight="1">
      <c r="A6" s="2" t="inlineStr">
        <is>
          <t>E2E 主链路用例数</t>
        </is>
      </c>
      <c r="B6" s="2">
        <f>COUNTA('03_E2E闭环'!A2:A200)</f>
        <v/>
      </c>
      <c r="C6" s="2" t="n"/>
      <c r="D6" s="2" t="inlineStr">
        <is>
          <t>若失败/阻塞数为 0 且 P0 全通过，可进入小范围体验测试。</t>
        </is>
      </c>
      <c r="E6" s="2">
        <f>IF(B11=0,"可继续体验版测试","需先处理失败/阻塞")</f>
        <v/>
      </c>
      <c r="F6" s="2" t="n"/>
    </row>
    <row r="7" ht="42" customHeight="1">
      <c r="A7" s="2" t="inlineStr">
        <is>
          <t>异常边界用例数</t>
        </is>
      </c>
      <c r="B7" s="2">
        <f>COUNTA('04_异常边界'!A2:A200)</f>
        <v/>
      </c>
      <c r="C7" s="2" t="n"/>
      <c r="D7" s="2" t="n"/>
      <c r="E7" s="2" t="n"/>
      <c r="F7" s="2" t="n"/>
    </row>
    <row r="8" ht="42" customHeight="1">
      <c r="A8" s="2" t="inlineStr">
        <is>
          <t>UI兼容用例数</t>
        </is>
      </c>
      <c r="B8" s="2">
        <f>COUNTA('05_UI兼容'!A2:A200)</f>
        <v/>
      </c>
      <c r="C8" s="2" t="n"/>
      <c r="D8" s="2" t="n"/>
      <c r="E8" s="2" t="n"/>
      <c r="F8" s="2" t="n"/>
    </row>
    <row r="9" ht="42" customHeight="1">
      <c r="A9" s="2" t="inlineStr">
        <is>
          <t>静态检查项数</t>
        </is>
      </c>
      <c r="B9" s="2">
        <f>COUNTA('06_静态检查'!A2:A200)</f>
        <v/>
      </c>
      <c r="C9" s="2" t="n"/>
      <c r="D9" s="2" t="n"/>
      <c r="E9" s="2" t="n"/>
      <c r="F9" s="2" t="n"/>
    </row>
    <row r="10" ht="42" customHeight="1">
      <c r="A10" s="2" t="inlineStr">
        <is>
          <t>P0 用例数</t>
        </is>
      </c>
      <c r="B10" s="2">
        <f>COUNTIF('03_E2E闭环'!C:C,"P0")+COUNTIF('04_异常边界'!C:C,"P0")+COUNTIF('05_UI兼容'!C:C,"P0")+COUNTIF('06_静态检查'!C:C,"P0")</f>
        <v/>
      </c>
      <c r="C10" s="2" t="n"/>
      <c r="D10" s="2" t="n"/>
      <c r="E10" s="2" t="n"/>
      <c r="F10" s="2" t="n"/>
    </row>
    <row r="11" ht="42" customHeight="1">
      <c r="A11" s="2" t="inlineStr">
        <is>
          <t>失败/阻塞数</t>
        </is>
      </c>
      <c r="B11" s="2">
        <f>COUNTIF('03_E2E闭环'!I:I,"失败")+COUNTIF('03_E2E闭环'!I:I,"阻塞")+COUNTIF('04_异常边界'!I:I,"失败")+COUNTIF('04_异常边界'!I:I,"阻塞")+COUNTIF('05_UI兼容'!I:I,"失败")+COUNTIF('05_UI兼容'!I:I,"阻塞")+COUNTIF('06_静态检查'!G:G,"失败")+COUNTIF('06_静态检查'!G:G,"阻塞")</f>
        <v/>
      </c>
      <c r="C11" s="2" t="n"/>
      <c r="D11" s="2" t="n"/>
      <c r="E11" s="2" t="n"/>
      <c r="F11" s="2" t="n"/>
    </row>
    <row r="12" ht="42" customHeight="1">
      <c r="A12" s="2" t="n"/>
      <c r="B12" s="2" t="n"/>
      <c r="C12" s="2" t="n"/>
      <c r="D12" s="2" t="n"/>
      <c r="E12" s="2" t="n"/>
      <c r="F12" s="2" t="n"/>
    </row>
    <row r="13" ht="42" customHeight="1">
      <c r="A13" s="2" t="n"/>
      <c r="B13" s="2" t="n"/>
      <c r="C13" s="2" t="n"/>
      <c r="D13" s="2" t="n"/>
      <c r="E13" s="2" t="n"/>
      <c r="F13" s="2" t="n"/>
    </row>
    <row r="14" ht="42" customHeight="1">
      <c r="A14" s="2" t="n"/>
      <c r="B14" s="2" t="n"/>
      <c r="C14" s="2" t="n"/>
      <c r="D14" s="2" t="n"/>
      <c r="E14" s="2" t="n"/>
      <c r="F14" s="2" t="n"/>
    </row>
    <row r="15" ht="42" customHeight="1">
      <c r="A15" s="2" t="n"/>
      <c r="B15" s="2" t="n"/>
      <c r="C15" s="2" t="n"/>
      <c r="D15" s="2" t="n"/>
      <c r="E15" s="2" t="n"/>
      <c r="F15" s="2" t="n"/>
    </row>
    <row r="16" ht="42" customHeight="1">
      <c r="A16" s="2" t="n"/>
      <c r="B16" s="2" t="n"/>
      <c r="C16" s="2" t="n"/>
      <c r="D16" s="2" t="n"/>
      <c r="E16" s="2" t="n"/>
      <c r="F16" s="2" t="n"/>
    </row>
    <row r="17" ht="42" customHeight="1">
      <c r="A17" s="2" t="n"/>
      <c r="B17" s="2" t="n"/>
      <c r="C17" s="2" t="n"/>
      <c r="D17" s="2" t="n"/>
      <c r="E17" s="2" t="n"/>
      <c r="F17" s="2" t="n"/>
    </row>
    <row r="18" ht="42" customHeight="1">
      <c r="A18" s="2" t="n"/>
      <c r="B18" s="2" t="n"/>
      <c r="C18" s="2" t="n"/>
      <c r="D18" s="2" t="n"/>
      <c r="E18" s="2" t="n"/>
      <c r="F18" s="2" t="n"/>
    </row>
    <row r="19" ht="42" customHeight="1">
      <c r="A19" s="2" t="n"/>
      <c r="B19" s="2" t="n"/>
      <c r="C19" s="2" t="n"/>
      <c r="D19" s="2" t="n"/>
      <c r="E19" s="2" t="n"/>
      <c r="F19" s="2" t="n"/>
    </row>
    <row r="20" ht="42" customHeight="1">
      <c r="A20" s="2" t="n"/>
      <c r="B20" s="2" t="n"/>
      <c r="C20" s="2" t="n"/>
      <c r="D20" s="2" t="n"/>
      <c r="E20" s="2" t="n"/>
      <c r="F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4" customWidth="1" min="3" max="3"/>
    <col width="24" customWidth="1" min="4" max="4"/>
    <col width="10" customWidth="1" min="5" max="5"/>
    <col width="28" customWidth="1" min="6" max="6"/>
  </cols>
  <sheetData>
    <row r="1" ht="28" customHeight="1">
      <c r="A1" s="4" t="inlineStr">
        <is>
          <t>项目</t>
        </is>
      </c>
      <c r="B1" s="4" t="inlineStr">
        <is>
          <t>要求</t>
        </is>
      </c>
      <c r="C1" s="4" t="inlineStr">
        <is>
          <t>验证方法</t>
        </is>
      </c>
      <c r="D1" s="4" t="inlineStr">
        <is>
          <t>实际结果</t>
        </is>
      </c>
      <c r="E1" s="4" t="inlineStr">
        <is>
          <t>状态</t>
        </is>
      </c>
      <c r="F1" s="4" t="inlineStr">
        <is>
          <t>备注</t>
        </is>
      </c>
    </row>
    <row r="2" ht="42" customHeight="1">
      <c r="A2" s="5" t="inlineStr">
        <is>
          <t>体验版</t>
        </is>
      </c>
      <c r="B2" s="5" t="inlineStr">
        <is>
          <t>已通过 HBuilderX 发行并上传体验版</t>
        </is>
      </c>
      <c r="C2" s="5" t="inlineStr">
        <is>
          <t>微信公众平台版本管理查看</t>
        </is>
      </c>
      <c r="D2" s="5" t="inlineStr"/>
      <c r="E2" s="5" t="inlineStr">
        <is>
          <t>未测</t>
        </is>
      </c>
      <c r="F2" s="5" t="inlineStr"/>
    </row>
    <row r="3" ht="42" customHeight="1">
      <c r="A3" s="6" t="inlineStr">
        <is>
          <t>测试成员</t>
        </is>
      </c>
      <c r="B3" s="6" t="inlineStr">
        <is>
          <t>微信号 A/B 已加入体验成员</t>
        </is>
      </c>
      <c r="C3" s="6" t="inlineStr">
        <is>
          <t>成员管理查看并扫码验证</t>
        </is>
      </c>
      <c r="D3" s="6" t="inlineStr"/>
      <c r="E3" s="6" t="inlineStr">
        <is>
          <t>未测</t>
        </is>
      </c>
      <c r="F3" s="6" t="inlineStr"/>
    </row>
    <row r="4" ht="42" customHeight="1">
      <c r="A4" s="5" t="inlineStr">
        <is>
          <t>AppID</t>
        </is>
      </c>
      <c r="B4" s="5" t="inlineStr">
        <is>
          <t>manifest mp-weixin.appid 已配置</t>
        </is>
      </c>
      <c r="C4" s="5" t="inlineStr">
        <is>
          <t>HBuilderX manifest 或项目配置查看</t>
        </is>
      </c>
      <c r="D4" s="5" t="inlineStr"/>
      <c r="E4" s="5" t="inlineStr">
        <is>
          <t>未测</t>
        </is>
      </c>
      <c r="F4" s="5" t="inlineStr"/>
    </row>
    <row r="5" ht="42" customHeight="1">
      <c r="A5" s="6" t="inlineStr">
        <is>
          <t>uniCloud</t>
        </is>
      </c>
      <c r="B5" s="6" t="inlineStr">
        <is>
          <t>服务空间绑定正确</t>
        </is>
      </c>
      <c r="C5" s="6" t="inlineStr">
        <is>
          <t>HBuilderX uniCloud 目录显示目标空间</t>
        </is>
      </c>
      <c r="D5" s="6" t="inlineStr"/>
      <c r="E5" s="6" t="inlineStr">
        <is>
          <t>未测</t>
        </is>
      </c>
      <c r="F5" s="6" t="inlineStr"/>
    </row>
    <row r="6" ht="42" customHeight="1">
      <c r="A6" s="5" t="inlineStr">
        <is>
          <t>云函数</t>
        </is>
      </c>
      <c r="B6" s="5" t="inlineStr">
        <is>
          <t>uni-id-co、uni-config-center、surego-* 已上传</t>
        </is>
      </c>
      <c r="C6" s="5" t="inlineStr">
        <is>
          <t>HBuilderX 云函数列表查看</t>
        </is>
      </c>
      <c r="D6" s="5" t="inlineStr"/>
      <c r="E6" s="5" t="inlineStr">
        <is>
          <t>未测</t>
        </is>
      </c>
      <c r="F6" s="5" t="inlineStr"/>
    </row>
    <row r="7" ht="42" customHeight="1">
      <c r="A7" s="6" t="inlineStr">
        <is>
          <t>数据库</t>
        </is>
      </c>
      <c r="B7" s="6" t="inlineStr">
        <is>
          <t>SureGo schema 已上传，权限规则生效</t>
        </is>
      </c>
      <c r="C7" s="6" t="inlineStr">
        <is>
          <t>uniCloud 控制台查看</t>
        </is>
      </c>
      <c r="D7" s="6" t="inlineStr"/>
      <c r="E7" s="6" t="inlineStr">
        <is>
          <t>未测</t>
        </is>
      </c>
      <c r="F7" s="6" t="inlineStr"/>
    </row>
    <row r="8" ht="42" customHeight="1">
      <c r="A8" s="5" t="inlineStr">
        <is>
          <t>合法域名</t>
        </is>
      </c>
      <c r="B8" s="5" t="inlineStr">
        <is>
          <t>request/upload/download 域名已配置</t>
        </is>
      </c>
      <c r="C8" s="5" t="inlineStr">
        <is>
          <t>微信公众平台服务器域名查看</t>
        </is>
      </c>
      <c r="D8" s="5" t="inlineStr"/>
      <c r="E8" s="5" t="inlineStr">
        <is>
          <t>未测</t>
        </is>
      </c>
      <c r="F8" s="5" t="inlineStr"/>
    </row>
    <row r="9" ht="42" customHeight="1">
      <c r="A9" s="6" t="inlineStr">
        <is>
          <t>支付</t>
        </is>
      </c>
      <c r="B9" s="6" t="inlineStr">
        <is>
          <t>真实支付不接入，只测试运营订单确认</t>
        </is>
      </c>
      <c r="C9" s="6" t="inlineStr">
        <is>
          <t>支付页文案和订单状态检查</t>
        </is>
      </c>
      <c r="D9" s="6" t="inlineStr"/>
      <c r="E9" s="6" t="inlineStr">
        <is>
          <t>确认</t>
        </is>
      </c>
      <c r="F9" s="6" t="inlineStr"/>
    </row>
    <row r="10" ht="42" customHeight="1">
      <c r="A10" s="5" t="inlineStr">
        <is>
          <t>运营权限</t>
        </is>
      </c>
      <c r="B10" s="5" t="inlineStr">
        <is>
          <t>测试运营台时 A 需有 admin/operator 角色</t>
        </is>
      </c>
      <c r="C10" s="5" t="inlineStr">
        <is>
          <t>uni-id 用户角色或 mock 权限查看</t>
        </is>
      </c>
      <c r="D10" s="5" t="inlineStr"/>
      <c r="E10" s="5" t="inlineStr">
        <is>
          <t>未测</t>
        </is>
      </c>
      <c r="F10" s="5" t="inlineStr"/>
    </row>
  </sheetData>
  <autoFilter ref="A1:F10"/>
  <dataValidations count="1">
    <dataValidation sqref="E2:E10" showDropDown="0" showInputMessage="0" showErrorMessage="0" allowBlank="1" type="list">
      <formula1>"未测,通过,失败,阻塞,跳过,确认"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6" customWidth="1" min="3" max="3"/>
    <col width="20" customWidth="1" min="4" max="4"/>
    <col width="18" customWidth="1" min="5" max="5"/>
    <col width="18" customWidth="1" min="6" max="6"/>
    <col width="28" customWidth="1" min="7" max="7"/>
    <col width="28" customWidth="1" min="8" max="8"/>
  </cols>
  <sheetData>
    <row r="1" ht="28" customHeight="1">
      <c r="A1" s="4" t="inlineStr">
        <is>
          <t>账号</t>
        </is>
      </c>
      <c r="B1" s="4" t="inlineStr">
        <is>
          <t>角色</t>
        </is>
      </c>
      <c r="C1" s="4" t="inlineStr">
        <is>
          <t>用途</t>
        </is>
      </c>
      <c r="D1" s="4" t="inlineStr">
        <is>
          <t>微信昵称/备注</t>
        </is>
      </c>
      <c r="E1" s="4" t="inlineStr">
        <is>
          <t>测试设备</t>
        </is>
      </c>
      <c r="F1" s="4" t="inlineStr">
        <is>
          <t>登录结果</t>
        </is>
      </c>
      <c r="G1" s="4" t="inlineStr">
        <is>
          <t>UID</t>
        </is>
      </c>
      <c r="H1" s="4" t="inlineStr">
        <is>
          <t>备注</t>
        </is>
      </c>
    </row>
    <row r="2" ht="42" customHeight="1">
      <c r="A2" s="5" t="inlineStr">
        <is>
          <t>微信号 A</t>
        </is>
      </c>
      <c r="B2" s="5" t="inlineStr">
        <is>
          <t>发起人 / 局长 / 可选运营</t>
        </is>
      </c>
      <c r="C2" s="5" t="inlineStr">
        <is>
          <t>创建活动、审核报名、核销签到、运营处理</t>
        </is>
      </c>
      <c r="D2" s="5" t="inlineStr"/>
      <c r="E2" s="5" t="inlineStr"/>
      <c r="F2" s="5" t="inlineStr"/>
      <c r="G2" s="5" t="inlineStr"/>
      <c r="H2" s="5" t="inlineStr"/>
    </row>
    <row r="3" ht="42" customHeight="1">
      <c r="A3" s="6" t="inlineStr">
        <is>
          <t>微信号 B</t>
        </is>
      </c>
      <c r="B3" s="6" t="inlineStr">
        <is>
          <t>普通用户 / 参与者</t>
        </is>
      </c>
      <c r="C3" s="6" t="inlineStr">
        <is>
          <t>浏览、报名、支付确认、签到、查看消息</t>
        </is>
      </c>
      <c r="D3" s="6" t="inlineStr"/>
      <c r="E3" s="6" t="inlineStr"/>
      <c r="F3" s="6" t="inlineStr"/>
      <c r="G3" s="6" t="inlineStr"/>
      <c r="H3" s="6" t="inlineStr"/>
    </row>
  </sheetData>
  <autoFilter ref="A1:H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8" customWidth="1" min="3" max="3"/>
    <col width="12" customWidth="1" min="4" max="4"/>
    <col width="28" customWidth="1" min="5" max="5"/>
    <col width="42" customWidth="1" min="6" max="6"/>
    <col width="42" customWidth="1" min="7" max="7"/>
    <col width="30" customWidth="1" min="8" max="8"/>
    <col width="10" customWidth="1" min="9" max="9"/>
    <col width="14" customWidth="1" min="10" max="10"/>
    <col width="12" customWidth="1" min="11" max="11"/>
    <col width="16" customWidth="1" min="12" max="12"/>
    <col width="24" customWidth="1" min="13" max="13"/>
  </cols>
  <sheetData>
    <row r="1" ht="28" customHeight="1">
      <c r="A1" s="4" t="inlineStr">
        <is>
          <t>用例ID</t>
        </is>
      </c>
      <c r="B1" s="4" t="inlineStr">
        <is>
          <t>模块</t>
        </is>
      </c>
      <c r="C1" s="4" t="inlineStr">
        <is>
          <t>优先级</t>
        </is>
      </c>
      <c r="D1" s="4" t="inlineStr">
        <is>
          <t>测试类型</t>
        </is>
      </c>
      <c r="E1" s="4" t="inlineStr">
        <is>
          <t>前置条件</t>
        </is>
      </c>
      <c r="F1" s="4" t="inlineStr">
        <is>
          <t>测试步骤</t>
        </is>
      </c>
      <c r="G1" s="4" t="inlineStr">
        <is>
          <t>预期结果</t>
        </is>
      </c>
      <c r="H1" s="4" t="inlineStr">
        <is>
          <t>实际结果</t>
        </is>
      </c>
      <c r="I1" s="4" t="inlineStr">
        <is>
          <t>状态</t>
        </is>
      </c>
      <c r="J1" s="4" t="inlineStr">
        <is>
          <t>缺陷ID</t>
        </is>
      </c>
      <c r="K1" s="4" t="inlineStr">
        <is>
          <t>负责人</t>
        </is>
      </c>
      <c r="L1" s="4" t="inlineStr">
        <is>
          <t>测试时间</t>
        </is>
      </c>
      <c r="M1" s="4" t="inlineStr">
        <is>
          <t>备注</t>
        </is>
      </c>
    </row>
    <row r="2" ht="42" customHeight="1">
      <c r="A2" s="5" t="inlineStr">
        <is>
          <t>SG-E2E-001</t>
        </is>
      </c>
      <c r="B2" s="5" t="inlineStr">
        <is>
          <t>体验版启动</t>
        </is>
      </c>
      <c r="C2" s="5" t="inlineStr">
        <is>
          <t>P0</t>
        </is>
      </c>
      <c r="D2" s="5" t="inlineStr">
        <is>
          <t>冒烟</t>
        </is>
      </c>
      <c r="E2" s="5" t="inlineStr">
        <is>
          <t>体验版已上传，测试微信号为体验成员</t>
        </is>
      </c>
      <c r="F2" s="5" t="inlineStr">
        <is>
          <t>扫码进入体验版小程序</t>
        </is>
      </c>
      <c r="G2" s="5" t="inlineStr">
        <is>
          <t>小程序正常打开，首页无白屏、无编译错误</t>
        </is>
      </c>
      <c r="H2" s="5" t="inlineStr"/>
      <c r="I2" s="5" t="inlineStr">
        <is>
          <t>未测</t>
        </is>
      </c>
      <c r="J2" s="5" t="inlineStr"/>
      <c r="K2" s="5" t="inlineStr"/>
      <c r="L2" s="5" t="inlineStr"/>
      <c r="M2" s="5" t="inlineStr"/>
    </row>
    <row r="3" ht="42" customHeight="1">
      <c r="A3" s="6" t="inlineStr">
        <is>
          <t>SG-E2E-002</t>
        </is>
      </c>
      <c r="B3" s="6" t="inlineStr">
        <is>
          <t>微信登录</t>
        </is>
      </c>
      <c r="C3" s="6" t="inlineStr">
        <is>
          <t>P0</t>
        </is>
      </c>
      <c r="D3" s="6" t="inlineStr">
        <is>
          <t>功能</t>
        </is>
      </c>
      <c r="E3" s="6" t="inlineStr">
        <is>
          <t>A 为体验成员，uni-id 已上传并配置</t>
        </is>
      </c>
      <c r="F3" s="6" t="inlineStr">
        <is>
          <t>A 点击底部 + 或报名等登录入口，进入登录页并授权</t>
        </is>
      </c>
      <c r="G3" s="6" t="inlineStr">
        <is>
          <t>登录成功，写入 uni_id_token，返回原目标页</t>
        </is>
      </c>
      <c r="H3" s="6" t="inlineStr"/>
      <c r="I3" s="6" t="inlineStr">
        <is>
          <t>未测</t>
        </is>
      </c>
      <c r="J3" s="6" t="inlineStr"/>
      <c r="K3" s="6" t="inlineStr"/>
      <c r="L3" s="6" t="inlineStr"/>
      <c r="M3" s="6" t="inlineStr"/>
    </row>
    <row r="4" ht="42" customHeight="1">
      <c r="A4" s="5" t="inlineStr">
        <is>
          <t>SG-E2E-003</t>
        </is>
      </c>
      <c r="B4" s="5" t="inlineStr">
        <is>
          <t>登录态持久化</t>
        </is>
      </c>
      <c r="C4" s="5" t="inlineStr">
        <is>
          <t>P1</t>
        </is>
      </c>
      <c r="D4" s="5" t="inlineStr">
        <is>
          <t>回归</t>
        </is>
      </c>
      <c r="E4" s="5" t="inlineStr">
        <is>
          <t>A 已登录</t>
        </is>
      </c>
      <c r="F4" s="5" t="inlineStr">
        <is>
          <t>关闭小程序后重新打开，进入用户中心</t>
        </is>
      </c>
      <c r="G4" s="5" t="inlineStr">
        <is>
          <t>仍识别为已登录，不重复强制授权</t>
        </is>
      </c>
      <c r="H4" s="5" t="inlineStr"/>
      <c r="I4" s="5" t="inlineStr">
        <is>
          <t>未测</t>
        </is>
      </c>
      <c r="J4" s="5" t="inlineStr"/>
      <c r="K4" s="5" t="inlineStr"/>
      <c r="L4" s="5" t="inlineStr"/>
      <c r="M4" s="5" t="inlineStr"/>
    </row>
    <row r="5" ht="42" customHeight="1">
      <c r="A5" s="6" t="inlineStr">
        <is>
          <t>SG-E2E-004</t>
        </is>
      </c>
      <c r="B5" s="6" t="inlineStr">
        <is>
          <t>首页浏览</t>
        </is>
      </c>
      <c r="C5" s="6" t="inlineStr">
        <is>
          <t>P0</t>
        </is>
      </c>
      <c r="D5" s="6" t="inlineStr">
        <is>
          <t>功能</t>
        </is>
      </c>
      <c r="E5" s="6" t="inlineStr">
        <is>
          <t>小程序已启动</t>
        </is>
      </c>
      <c r="F5" s="6" t="inlineStr">
        <is>
          <t>查看首页顶部入口、精选活动、我的局、活动卡片</t>
        </is>
      </c>
      <c r="G5" s="6" t="inlineStr">
        <is>
          <t>内容正常加载，卡片可点击，无明显错位</t>
        </is>
      </c>
      <c r="H5" s="6" t="inlineStr"/>
      <c r="I5" s="6" t="inlineStr">
        <is>
          <t>未测</t>
        </is>
      </c>
      <c r="J5" s="6" t="inlineStr"/>
      <c r="K5" s="6" t="inlineStr"/>
      <c r="L5" s="6" t="inlineStr"/>
      <c r="M5" s="6" t="inlineStr"/>
    </row>
    <row r="6" ht="42" customHeight="1">
      <c r="A6" s="5" t="inlineStr">
        <is>
          <t>SG-E2E-005</t>
        </is>
      </c>
      <c r="B6" s="5" t="inlineStr">
        <is>
          <t>发现页浏览</t>
        </is>
      </c>
      <c r="C6" s="5" t="inlineStr">
        <is>
          <t>P0</t>
        </is>
      </c>
      <c r="D6" s="5" t="inlineStr">
        <is>
          <t>功能</t>
        </is>
      </c>
      <c r="E6" s="5" t="inlineStr">
        <is>
          <t>首页正常</t>
        </is>
      </c>
      <c r="F6" s="5" t="inlineStr">
        <is>
          <t>点击底部右侧发现</t>
        </is>
      </c>
      <c r="G6" s="5" t="inlineStr">
        <is>
          <t>进入发现页，分类、城市、推荐流正常显示</t>
        </is>
      </c>
      <c r="H6" s="5" t="inlineStr"/>
      <c r="I6" s="5" t="inlineStr">
        <is>
          <t>未测</t>
        </is>
      </c>
      <c r="J6" s="5" t="inlineStr"/>
      <c r="K6" s="5" t="inlineStr"/>
      <c r="L6" s="5" t="inlineStr"/>
      <c r="M6" s="5" t="inlineStr"/>
    </row>
    <row r="7" ht="42" customHeight="1">
      <c r="A7" s="6" t="inlineStr">
        <is>
          <t>SG-E2E-006</t>
        </is>
      </c>
      <c r="B7" s="6" t="inlineStr">
        <is>
          <t>搜索入口</t>
        </is>
      </c>
      <c r="C7" s="6" t="inlineStr">
        <is>
          <t>P1</t>
        </is>
      </c>
      <c r="D7" s="6" t="inlineStr">
        <is>
          <t>功能</t>
        </is>
      </c>
      <c r="E7" s="6" t="inlineStr">
        <is>
          <t>首页或发现页可用</t>
        </is>
      </c>
      <c r="F7" s="6" t="inlineStr">
        <is>
          <t>进入搜索页，输入关键词，点击结果</t>
        </is>
      </c>
      <c r="G7" s="6" t="inlineStr">
        <is>
          <t>搜索结果可显示，点击进入对应详情页</t>
        </is>
      </c>
      <c r="H7" s="6" t="inlineStr"/>
      <c r="I7" s="6" t="inlineStr">
        <is>
          <t>未测</t>
        </is>
      </c>
      <c r="J7" s="6" t="inlineStr"/>
      <c r="K7" s="6" t="inlineStr"/>
      <c r="L7" s="6" t="inlineStr"/>
      <c r="M7" s="6" t="inlineStr"/>
    </row>
    <row r="8" ht="42" customHeight="1">
      <c r="A8" s="5" t="inlineStr">
        <is>
          <t>SG-E2E-007</t>
        </is>
      </c>
      <c r="B8" s="5" t="inlineStr">
        <is>
          <t>城市筛选</t>
        </is>
      </c>
      <c r="C8" s="5" t="inlineStr">
        <is>
          <t>P1</t>
        </is>
      </c>
      <c r="D8" s="5" t="inlineStr">
        <is>
          <t>功能</t>
        </is>
      </c>
      <c r="E8" s="5" t="inlineStr">
        <is>
          <t>发现页可用</t>
        </is>
      </c>
      <c r="F8" s="5" t="inlineStr">
        <is>
          <t>点击城市入口，选择城市后返回</t>
        </is>
      </c>
      <c r="G8" s="5" t="inlineStr">
        <is>
          <t>城市选择生效，发现页保留筛选状态</t>
        </is>
      </c>
      <c r="H8" s="5" t="inlineStr"/>
      <c r="I8" s="5" t="inlineStr">
        <is>
          <t>未测</t>
        </is>
      </c>
      <c r="J8" s="5" t="inlineStr"/>
      <c r="K8" s="5" t="inlineStr"/>
      <c r="L8" s="5" t="inlineStr"/>
      <c r="M8" s="5" t="inlineStr"/>
    </row>
    <row r="9" ht="42" customHeight="1">
      <c r="A9" s="6" t="inlineStr">
        <is>
          <t>SG-E2E-008</t>
        </is>
      </c>
      <c r="B9" s="6" t="inlineStr">
        <is>
          <t>日历入口</t>
        </is>
      </c>
      <c r="C9" s="6" t="inlineStr">
        <is>
          <t>P1</t>
        </is>
      </c>
      <c r="D9" s="6" t="inlineStr">
        <is>
          <t>功能</t>
        </is>
      </c>
      <c r="E9" s="6" t="inlineStr">
        <is>
          <t>发现页或用户中心可用</t>
        </is>
      </c>
      <c r="F9" s="6" t="inlineStr">
        <is>
          <t>进入日历页，选择日期活动</t>
        </is>
      </c>
      <c r="G9" s="6" t="inlineStr">
        <is>
          <t>按日期展示活动，活动可进入详情或参与者中心</t>
        </is>
      </c>
      <c r="H9" s="6" t="inlineStr"/>
      <c r="I9" s="6" t="inlineStr">
        <is>
          <t>未测</t>
        </is>
      </c>
      <c r="J9" s="6" t="inlineStr"/>
      <c r="K9" s="6" t="inlineStr"/>
      <c r="L9" s="6" t="inlineStr"/>
      <c r="M9" s="6" t="inlineStr"/>
    </row>
    <row r="10" ht="42" customHeight="1">
      <c r="A10" s="5" t="inlineStr">
        <is>
          <t>SG-E2E-009</t>
        </is>
      </c>
      <c r="B10" s="5" t="inlineStr">
        <is>
          <t>活动详情</t>
        </is>
      </c>
      <c r="C10" s="5" t="inlineStr">
        <is>
          <t>P0</t>
        </is>
      </c>
      <c r="D10" s="5" t="inlineStr">
        <is>
          <t>功能</t>
        </is>
      </c>
      <c r="E10" s="5" t="inlineStr">
        <is>
          <t>存在活动数据</t>
        </is>
      </c>
      <c r="F10" s="5" t="inlineStr">
        <is>
          <t>点击任意活动卡片</t>
        </is>
      </c>
      <c r="G10" s="5" t="inlineStr">
        <is>
          <t>详情页展示封面、标题、时间、地点、人数、局长信息、报名 CTA</t>
        </is>
      </c>
      <c r="H10" s="5" t="inlineStr"/>
      <c r="I10" s="5" t="inlineStr">
        <is>
          <t>未测</t>
        </is>
      </c>
      <c r="J10" s="5" t="inlineStr"/>
      <c r="K10" s="5" t="inlineStr"/>
      <c r="L10" s="5" t="inlineStr"/>
      <c r="M10" s="5" t="inlineStr"/>
    </row>
    <row r="11" ht="42" customHeight="1">
      <c r="A11" s="6" t="inlineStr">
        <is>
          <t>SG-E2E-010</t>
        </is>
      </c>
      <c r="B11" s="6" t="inlineStr">
        <is>
          <t>创建活动</t>
        </is>
      </c>
      <c r="C11" s="6" t="inlineStr">
        <is>
          <t>P0</t>
        </is>
      </c>
      <c r="D11" s="6" t="inlineStr">
        <is>
          <t>主流程</t>
        </is>
      </c>
      <c r="E11" s="6" t="inlineStr">
        <is>
          <t>A 已登录</t>
        </is>
      </c>
      <c r="F11" s="6" t="inlineStr">
        <is>
          <t>底部 + 进入创建，填写标题、分类、时间、地点、人数、费用、介绍、封面</t>
        </is>
      </c>
      <c r="G11" s="6" t="inlineStr">
        <is>
          <t>表单可编辑，必填校验合理，无页面报错</t>
        </is>
      </c>
      <c r="H11" s="6" t="inlineStr"/>
      <c r="I11" s="6" t="inlineStr">
        <is>
          <t>未测</t>
        </is>
      </c>
      <c r="J11" s="6" t="inlineStr"/>
      <c r="K11" s="6" t="inlineStr"/>
      <c r="L11" s="6" t="inlineStr"/>
      <c r="M11" s="6" t="inlineStr"/>
    </row>
    <row r="12" ht="42" customHeight="1">
      <c r="A12" s="5" t="inlineStr">
        <is>
          <t>SG-E2E-011</t>
        </is>
      </c>
      <c r="B12" s="5" t="inlineStr">
        <is>
          <t>位置选择</t>
        </is>
      </c>
      <c r="C12" s="5" t="inlineStr">
        <is>
          <t>P1</t>
        </is>
      </c>
      <c r="D12" s="5" t="inlineStr">
        <is>
          <t>能力</t>
        </is>
      </c>
      <c r="E12" s="5" t="inlineStr">
        <is>
          <t>A 在创建页</t>
        </is>
      </c>
      <c r="F12" s="5" t="inlineStr">
        <is>
          <t>点击选择位置，允许或拒绝定位/位置能力</t>
        </is>
      </c>
      <c r="G12" s="5" t="inlineStr">
        <is>
          <t>可选择位置；失败时有提示，文本地点仍可用</t>
        </is>
      </c>
      <c r="H12" s="5" t="inlineStr"/>
      <c r="I12" s="5" t="inlineStr">
        <is>
          <t>未测</t>
        </is>
      </c>
      <c r="J12" s="5" t="inlineStr"/>
      <c r="K12" s="5" t="inlineStr"/>
      <c r="L12" s="5" t="inlineStr"/>
      <c r="M12" s="5" t="inlineStr"/>
    </row>
    <row r="13" ht="42" customHeight="1">
      <c r="A13" s="6" t="inlineStr">
        <is>
          <t>SG-E2E-012</t>
        </is>
      </c>
      <c r="B13" s="6" t="inlineStr">
        <is>
          <t>封面上传</t>
        </is>
      </c>
      <c r="C13" s="6" t="inlineStr">
        <is>
          <t>P1</t>
        </is>
      </c>
      <c r="D13" s="6" t="inlineStr">
        <is>
          <t>能力</t>
        </is>
      </c>
      <c r="E13" s="6" t="inlineStr">
        <is>
          <t>A 在创建页</t>
        </is>
      </c>
      <c r="F13" s="6" t="inlineStr">
        <is>
          <t>选择图片作为活动封面</t>
        </is>
      </c>
      <c r="G13" s="6" t="inlineStr">
        <is>
          <t>图片上传至云存储或失败提示清晰，不把临时路径作为最终业务数据</t>
        </is>
      </c>
      <c r="H13" s="6" t="inlineStr"/>
      <c r="I13" s="6" t="inlineStr">
        <is>
          <t>未测</t>
        </is>
      </c>
      <c r="J13" s="6" t="inlineStr"/>
      <c r="K13" s="6" t="inlineStr"/>
      <c r="L13" s="6" t="inlineStr"/>
      <c r="M13" s="6" t="inlineStr"/>
    </row>
    <row r="14" ht="42" customHeight="1">
      <c r="A14" s="5" t="inlineStr">
        <is>
          <t>SG-E2E-013</t>
        </is>
      </c>
      <c r="B14" s="5" t="inlineStr">
        <is>
          <t>活动预览</t>
        </is>
      </c>
      <c r="C14" s="5" t="inlineStr">
        <is>
          <t>P1</t>
        </is>
      </c>
      <c r="D14" s="5" t="inlineStr">
        <is>
          <t>功能</t>
        </is>
      </c>
      <c r="E14" s="5" t="inlineStr">
        <is>
          <t>创建表单已填写</t>
        </is>
      </c>
      <c r="F14" s="5" t="inlineStr">
        <is>
          <t>点击预览</t>
        </is>
      </c>
      <c r="G14" s="5" t="inlineStr">
        <is>
          <t>预览内容与活动详情信息一致或高度接近</t>
        </is>
      </c>
      <c r="H14" s="5" t="inlineStr"/>
      <c r="I14" s="5" t="inlineStr">
        <is>
          <t>未测</t>
        </is>
      </c>
      <c r="J14" s="5" t="inlineStr"/>
      <c r="K14" s="5" t="inlineStr"/>
      <c r="L14" s="5" t="inlineStr"/>
      <c r="M14" s="5" t="inlineStr"/>
    </row>
    <row r="15" ht="42" customHeight="1">
      <c r="A15" s="6" t="inlineStr">
        <is>
          <t>SG-E2E-014</t>
        </is>
      </c>
      <c r="B15" s="6" t="inlineStr">
        <is>
          <t>发布活动</t>
        </is>
      </c>
      <c r="C15" s="6" t="inlineStr">
        <is>
          <t>P0</t>
        </is>
      </c>
      <c r="D15" s="6" t="inlineStr">
        <is>
          <t>主流程</t>
        </is>
      </c>
      <c r="E15" s="6" t="inlineStr">
        <is>
          <t>创建表单合法</t>
        </is>
      </c>
      <c r="F15" s="6" t="inlineStr">
        <is>
          <t>点击发布/创建</t>
        </is>
      </c>
      <c r="G15" s="6" t="inlineStr">
        <is>
          <t>跳转成功页，活动写入云端，CTA 可进入管理或详情</t>
        </is>
      </c>
      <c r="H15" s="6" t="inlineStr"/>
      <c r="I15" s="6" t="inlineStr">
        <is>
          <t>未测</t>
        </is>
      </c>
      <c r="J15" s="6" t="inlineStr"/>
      <c r="K15" s="6" t="inlineStr"/>
      <c r="L15" s="6" t="inlineStr"/>
      <c r="M15" s="6" t="inlineStr"/>
    </row>
    <row r="16" ht="42" customHeight="1">
      <c r="A16" s="5" t="inlineStr">
        <is>
          <t>SG-E2E-015</t>
        </is>
      </c>
      <c r="B16" s="5" t="inlineStr">
        <is>
          <t>创建后可见</t>
        </is>
      </c>
      <c r="C16" s="5" t="inlineStr">
        <is>
          <t>P0</t>
        </is>
      </c>
      <c r="D16" s="5" t="inlineStr">
        <is>
          <t>数据一致性</t>
        </is>
      </c>
      <c r="E16" s="5" t="inlineStr">
        <is>
          <t>A 已发布活动</t>
        </is>
      </c>
      <c r="F16" s="5" t="inlineStr">
        <is>
          <t>回到首页、发现、我的活动查看</t>
        </is>
      </c>
      <c r="G16" s="5" t="inlineStr">
        <is>
          <t>新活动可在相关列表中看到，状态一致</t>
        </is>
      </c>
      <c r="H16" s="5" t="inlineStr"/>
      <c r="I16" s="5" t="inlineStr">
        <is>
          <t>未测</t>
        </is>
      </c>
      <c r="J16" s="5" t="inlineStr"/>
      <c r="K16" s="5" t="inlineStr"/>
      <c r="L16" s="5" t="inlineStr"/>
      <c r="M16" s="5" t="inlineStr"/>
    </row>
    <row r="17" ht="42" customHeight="1">
      <c r="A17" s="6" t="inlineStr">
        <is>
          <t>SG-E2E-016</t>
        </is>
      </c>
      <c r="B17" s="6" t="inlineStr">
        <is>
          <t>B 登录</t>
        </is>
      </c>
      <c r="C17" s="6" t="inlineStr">
        <is>
          <t>P0</t>
        </is>
      </c>
      <c r="D17" s="6" t="inlineStr">
        <is>
          <t>功能</t>
        </is>
      </c>
      <c r="E17" s="6" t="inlineStr">
        <is>
          <t>B 为体验成员</t>
        </is>
      </c>
      <c r="F17" s="6" t="inlineStr">
        <is>
          <t>B 扫体验版进入并登录</t>
        </is>
      </c>
      <c r="G17" s="6" t="inlineStr">
        <is>
          <t>B 登录成功，uid 与 A 不同</t>
        </is>
      </c>
      <c r="H17" s="6" t="inlineStr"/>
      <c r="I17" s="6" t="inlineStr">
        <is>
          <t>未测</t>
        </is>
      </c>
      <c r="J17" s="6" t="inlineStr"/>
      <c r="K17" s="6" t="inlineStr"/>
      <c r="L17" s="6" t="inlineStr"/>
      <c r="M17" s="6" t="inlineStr"/>
    </row>
    <row r="18" ht="42" customHeight="1">
      <c r="A18" s="5" t="inlineStr">
        <is>
          <t>SG-E2E-017</t>
        </is>
      </c>
      <c r="B18" s="5" t="inlineStr">
        <is>
          <t>B 浏览 A 活动</t>
        </is>
      </c>
      <c r="C18" s="5" t="inlineStr">
        <is>
          <t>P0</t>
        </is>
      </c>
      <c r="D18" s="5" t="inlineStr">
        <is>
          <t>主流程</t>
        </is>
      </c>
      <c r="E18" s="5" t="inlineStr">
        <is>
          <t>A 已创建活动</t>
        </is>
      </c>
      <c r="F18" s="5" t="inlineStr">
        <is>
          <t>B 从首页/发现进入 A 活动详情</t>
        </is>
      </c>
      <c r="G18" s="5" t="inlineStr">
        <is>
          <t>B 可看到详情，CTA 为报名/申请</t>
        </is>
      </c>
      <c r="H18" s="5" t="inlineStr"/>
      <c r="I18" s="5" t="inlineStr">
        <is>
          <t>未测</t>
        </is>
      </c>
      <c r="J18" s="5" t="inlineStr"/>
      <c r="K18" s="5" t="inlineStr"/>
      <c r="L18" s="5" t="inlineStr"/>
      <c r="M18" s="5" t="inlineStr"/>
    </row>
    <row r="19" ht="42" customHeight="1">
      <c r="A19" s="6" t="inlineStr">
        <is>
          <t>SG-E2E-018</t>
        </is>
      </c>
      <c r="B19" s="6" t="inlineStr">
        <is>
          <t>B 提交报名</t>
        </is>
      </c>
      <c r="C19" s="6" t="inlineStr">
        <is>
          <t>P0</t>
        </is>
      </c>
      <c r="D19" s="6" t="inlineStr">
        <is>
          <t>主流程</t>
        </is>
      </c>
      <c r="E19" s="6" t="inlineStr">
        <is>
          <t>B 在活动详情页</t>
        </is>
      </c>
      <c r="F19" s="6" t="inlineStr">
        <is>
          <t>点击报名，填写申请信息/问题答案并提交</t>
        </is>
      </c>
      <c r="G19" s="6" t="inlineStr">
        <is>
          <t>报名申请写入云端，进入成功页或待审核状态</t>
        </is>
      </c>
      <c r="H19" s="6" t="inlineStr"/>
      <c r="I19" s="6" t="inlineStr">
        <is>
          <t>未测</t>
        </is>
      </c>
      <c r="J19" s="6" t="inlineStr"/>
      <c r="K19" s="6" t="inlineStr"/>
      <c r="L19" s="6" t="inlineStr"/>
      <c r="M19" s="6" t="inlineStr"/>
    </row>
    <row r="20" ht="42" customHeight="1">
      <c r="A20" s="5" t="inlineStr">
        <is>
          <t>SG-E2E-019</t>
        </is>
      </c>
      <c r="B20" s="5" t="inlineStr">
        <is>
          <t>重复报名拦截</t>
        </is>
      </c>
      <c r="C20" s="5" t="inlineStr">
        <is>
          <t>P1</t>
        </is>
      </c>
      <c r="D20" s="5" t="inlineStr">
        <is>
          <t>异常</t>
        </is>
      </c>
      <c r="E20" s="5" t="inlineStr">
        <is>
          <t>B 已提交报名</t>
        </is>
      </c>
      <c r="F20" s="5" t="inlineStr">
        <is>
          <t>B 再次进入详情点击报名</t>
        </is>
      </c>
      <c r="G20" s="5" t="inlineStr">
        <is>
          <t>不重复创建申请，提示已报名/审核中/已加入</t>
        </is>
      </c>
      <c r="H20" s="5" t="inlineStr"/>
      <c r="I20" s="5" t="inlineStr">
        <is>
          <t>未测</t>
        </is>
      </c>
      <c r="J20" s="5" t="inlineStr"/>
      <c r="K20" s="5" t="inlineStr"/>
      <c r="L20" s="5" t="inlineStr"/>
      <c r="M20" s="5" t="inlineStr"/>
    </row>
    <row r="21" ht="42" customHeight="1">
      <c r="A21" s="6" t="inlineStr">
        <is>
          <t>SG-E2E-020</t>
        </is>
      </c>
      <c r="B21" s="6" t="inlineStr">
        <is>
          <t>A 查看报名</t>
        </is>
      </c>
      <c r="C21" s="6" t="inlineStr">
        <is>
          <t>P0</t>
        </is>
      </c>
      <c r="D21" s="6" t="inlineStr">
        <is>
          <t>主流程</t>
        </is>
      </c>
      <c r="E21" s="6" t="inlineStr">
        <is>
          <t>B 已报名</t>
        </is>
      </c>
      <c r="F21" s="6" t="inlineStr">
        <is>
          <t>A 进入我的活动或活动管理</t>
        </is>
      </c>
      <c r="G21" s="6" t="inlineStr">
        <is>
          <t>管理页可看到 B 的申请，统计正确</t>
        </is>
      </c>
      <c r="H21" s="6" t="inlineStr"/>
      <c r="I21" s="6" t="inlineStr">
        <is>
          <t>未测</t>
        </is>
      </c>
      <c r="J21" s="6" t="inlineStr"/>
      <c r="K21" s="6" t="inlineStr"/>
      <c r="L21" s="6" t="inlineStr"/>
      <c r="M21" s="6" t="inlineStr"/>
    </row>
    <row r="22" ht="42" customHeight="1">
      <c r="A22" s="5" t="inlineStr">
        <is>
          <t>SG-E2E-021</t>
        </is>
      </c>
      <c r="B22" s="5" t="inlineStr">
        <is>
          <t>A 审核通过</t>
        </is>
      </c>
      <c r="C22" s="5" t="inlineStr">
        <is>
          <t>P0</t>
        </is>
      </c>
      <c r="D22" s="5" t="inlineStr">
        <is>
          <t>主流程</t>
        </is>
      </c>
      <c r="E22" s="5" t="inlineStr">
        <is>
          <t>管理页有 B 申请</t>
        </is>
      </c>
      <c r="F22" s="5" t="inlineStr">
        <is>
          <t>A 点击通过，填写备注确认</t>
        </is>
      </c>
      <c r="G22" s="5" t="inlineStr">
        <is>
          <t>B 申请状态变为 approved，管理页人数/状态更新</t>
        </is>
      </c>
      <c r="H22" s="5" t="inlineStr"/>
      <c r="I22" s="5" t="inlineStr">
        <is>
          <t>未测</t>
        </is>
      </c>
      <c r="J22" s="5" t="inlineStr"/>
      <c r="K22" s="5" t="inlineStr"/>
      <c r="L22" s="5" t="inlineStr"/>
      <c r="M22" s="5" t="inlineStr"/>
    </row>
    <row r="23" ht="42" customHeight="1">
      <c r="A23" s="6" t="inlineStr">
        <is>
          <t>SG-E2E-022</t>
        </is>
      </c>
      <c r="B23" s="6" t="inlineStr">
        <is>
          <t>审核消息</t>
        </is>
      </c>
      <c r="C23" s="6" t="inlineStr">
        <is>
          <t>P1</t>
        </is>
      </c>
      <c r="D23" s="6" t="inlineStr">
        <is>
          <t>通知</t>
        </is>
      </c>
      <c r="E23" s="6" t="inlineStr">
        <is>
          <t>A 已审核通过</t>
        </is>
      </c>
      <c r="F23" s="6" t="inlineStr">
        <is>
          <t>B 打开消息页</t>
        </is>
      </c>
      <c r="G23" s="6" t="inlineStr">
        <is>
          <t>B 收到审核通过/活动状态消息</t>
        </is>
      </c>
      <c r="H23" s="6" t="inlineStr"/>
      <c r="I23" s="6" t="inlineStr">
        <is>
          <t>未测</t>
        </is>
      </c>
      <c r="J23" s="6" t="inlineStr"/>
      <c r="K23" s="6" t="inlineStr"/>
      <c r="L23" s="6" t="inlineStr"/>
      <c r="M23" s="6" t="inlineStr"/>
    </row>
    <row r="24" ht="42" customHeight="1">
      <c r="A24" s="5" t="inlineStr">
        <is>
          <t>SG-E2E-023</t>
        </is>
      </c>
      <c r="B24" s="5" t="inlineStr">
        <is>
          <t>参与者中心</t>
        </is>
      </c>
      <c r="C24" s="5" t="inlineStr">
        <is>
          <t>P0</t>
        </is>
      </c>
      <c r="D24" s="5" t="inlineStr">
        <is>
          <t>主流程</t>
        </is>
      </c>
      <c r="E24" s="5" t="inlineStr">
        <is>
          <t>B 已通过审核</t>
        </is>
      </c>
      <c r="F24" s="5" t="inlineStr">
        <is>
          <t>B 从详情或我的活动进入参与者中心</t>
        </is>
      </c>
      <c r="G24" s="5" t="inlineStr">
        <is>
          <t>显示活动凭证、报名状态、订单状态、签到入口</t>
        </is>
      </c>
      <c r="H24" s="5" t="inlineStr"/>
      <c r="I24" s="5" t="inlineStr">
        <is>
          <t>未测</t>
        </is>
      </c>
      <c r="J24" s="5" t="inlineStr"/>
      <c r="K24" s="5" t="inlineStr"/>
      <c r="L24" s="5" t="inlineStr"/>
      <c r="M24" s="5" t="inlineStr"/>
    </row>
    <row r="25" ht="42" customHeight="1">
      <c r="A25" s="6" t="inlineStr">
        <is>
          <t>SG-E2E-024</t>
        </is>
      </c>
      <c r="B25" s="6" t="inlineStr">
        <is>
          <t>模拟支付入口</t>
        </is>
      </c>
      <c r="C25" s="6" t="inlineStr">
        <is>
          <t>P0</t>
        </is>
      </c>
      <c r="D25" s="6" t="inlineStr">
        <is>
          <t>主流程</t>
        </is>
      </c>
      <c r="E25" s="6" t="inlineStr">
        <is>
          <t>活动为诚意金/门票类型</t>
        </is>
      </c>
      <c r="F25" s="6" t="inlineStr">
        <is>
          <t>B 点击支付/确认订单</t>
        </is>
      </c>
      <c r="G25" s="6" t="inlineStr">
        <is>
          <t>进入支付页，显示金额、类型、无真实扣款说明</t>
        </is>
      </c>
      <c r="H25" s="6" t="inlineStr"/>
      <c r="I25" s="6" t="inlineStr">
        <is>
          <t>未测</t>
        </is>
      </c>
      <c r="J25" s="6" t="inlineStr"/>
      <c r="K25" s="6" t="inlineStr"/>
      <c r="L25" s="6" t="inlineStr"/>
      <c r="M25" s="6" t="inlineStr"/>
    </row>
    <row r="26" ht="42" customHeight="1">
      <c r="A26" s="5" t="inlineStr">
        <is>
          <t>SG-E2E-025</t>
        </is>
      </c>
      <c r="B26" s="5" t="inlineStr">
        <is>
          <t>模拟支付成功</t>
        </is>
      </c>
      <c r="C26" s="5" t="inlineStr">
        <is>
          <t>P0</t>
        </is>
      </c>
      <c r="D26" s="5" t="inlineStr">
        <is>
          <t>主流程</t>
        </is>
      </c>
      <c r="E26" s="5" t="inlineStr">
        <is>
          <t>B 在支付页</t>
        </is>
      </c>
      <c r="F26" s="5" t="inlineStr">
        <is>
          <t>点击确认支付/试运营确认</t>
        </is>
      </c>
      <c r="G26" s="5" t="inlineStr">
        <is>
          <t>订单状态变为 paid，返回参与者中心</t>
        </is>
      </c>
      <c r="H26" s="5" t="inlineStr"/>
      <c r="I26" s="5" t="inlineStr">
        <is>
          <t>未测</t>
        </is>
      </c>
      <c r="J26" s="5" t="inlineStr"/>
      <c r="K26" s="5" t="inlineStr"/>
      <c r="L26" s="5" t="inlineStr"/>
      <c r="M26" s="5" t="inlineStr"/>
    </row>
    <row r="27" ht="42" customHeight="1">
      <c r="A27" s="6" t="inlineStr">
        <is>
          <t>SG-E2E-026</t>
        </is>
      </c>
      <c r="B27" s="6" t="inlineStr">
        <is>
          <t>订单一致性</t>
        </is>
      </c>
      <c r="C27" s="6" t="inlineStr">
        <is>
          <t>P0</t>
        </is>
      </c>
      <c r="D27" s="6" t="inlineStr">
        <is>
          <t>数据一致性</t>
        </is>
      </c>
      <c r="E27" s="6" t="inlineStr">
        <is>
          <t>B 已支付</t>
        </is>
      </c>
      <c r="F27" s="6" t="inlineStr">
        <is>
          <t>查看参与者中心、用户中心订单 Tab、订单详情</t>
        </is>
      </c>
      <c r="G27" s="6" t="inlineStr">
        <is>
          <t>同一订单状态均为已支付，金额和活动信息一致</t>
        </is>
      </c>
      <c r="H27" s="6" t="inlineStr"/>
      <c r="I27" s="6" t="inlineStr">
        <is>
          <t>未测</t>
        </is>
      </c>
      <c r="J27" s="6" t="inlineStr"/>
      <c r="K27" s="6" t="inlineStr"/>
      <c r="L27" s="6" t="inlineStr"/>
      <c r="M27" s="6" t="inlineStr"/>
    </row>
    <row r="28" ht="42" customHeight="1">
      <c r="A28" s="5" t="inlineStr">
        <is>
          <t>SG-E2E-027</t>
        </is>
      </c>
      <c r="B28" s="5" t="inlineStr">
        <is>
          <t>订单详情</t>
        </is>
      </c>
      <c r="C28" s="5" t="inlineStr">
        <is>
          <t>P1</t>
        </is>
      </c>
      <c r="D28" s="5" t="inlineStr">
        <is>
          <t>功能</t>
        </is>
      </c>
      <c r="E28" s="5" t="inlineStr">
        <is>
          <t>B 有订单</t>
        </is>
      </c>
      <c r="F28" s="5" t="inlineStr">
        <is>
          <t>点击订单卡片进入详情</t>
        </is>
      </c>
      <c r="G28" s="5" t="inlineStr">
        <is>
          <t>展示订单号、状态时间线、金额、活动信息、规则说明</t>
        </is>
      </c>
      <c r="H28" s="5" t="inlineStr"/>
      <c r="I28" s="5" t="inlineStr">
        <is>
          <t>未测</t>
        </is>
      </c>
      <c r="J28" s="5" t="inlineStr"/>
      <c r="K28" s="5" t="inlineStr"/>
      <c r="L28" s="5" t="inlineStr"/>
      <c r="M28" s="5" t="inlineStr"/>
    </row>
    <row r="29" ht="42" customHeight="1">
      <c r="A29" s="6" t="inlineStr">
        <is>
          <t>SG-E2E-028</t>
        </is>
      </c>
      <c r="B29" s="6" t="inlineStr">
        <is>
          <t>A 票券统计</t>
        </is>
      </c>
      <c r="C29" s="6" t="inlineStr">
        <is>
          <t>P1</t>
        </is>
      </c>
      <c r="D29" s="6" t="inlineStr">
        <is>
          <t>管理</t>
        </is>
      </c>
      <c r="E29" s="6" t="inlineStr">
        <is>
          <t>B 已支付</t>
        </is>
      </c>
      <c r="F29" s="6" t="inlineStr">
        <is>
          <t>A 进入管理页票券/保证金统计</t>
        </is>
      </c>
      <c r="G29" s="6" t="inlineStr">
        <is>
          <t>显示待支付、已支付、退款/关闭数量和金额统计</t>
        </is>
      </c>
      <c r="H29" s="6" t="inlineStr"/>
      <c r="I29" s="6" t="inlineStr">
        <is>
          <t>未测</t>
        </is>
      </c>
      <c r="J29" s="6" t="inlineStr"/>
      <c r="K29" s="6" t="inlineStr"/>
      <c r="L29" s="6" t="inlineStr"/>
      <c r="M29" s="6" t="inlineStr"/>
    </row>
    <row r="30" ht="42" customHeight="1">
      <c r="A30" s="5" t="inlineStr">
        <is>
          <t>SG-E2E-029</t>
        </is>
      </c>
      <c r="B30" s="5" t="inlineStr">
        <is>
          <t>签到页进入</t>
        </is>
      </c>
      <c r="C30" s="5" t="inlineStr">
        <is>
          <t>P0</t>
        </is>
      </c>
      <c r="D30" s="5" t="inlineStr">
        <is>
          <t>主流程</t>
        </is>
      </c>
      <c r="E30" s="5" t="inlineStr">
        <is>
          <t>A 为活动创建者</t>
        </is>
      </c>
      <c r="F30" s="5" t="inlineStr">
        <is>
          <t>A 在管理页点击签到核销</t>
        </is>
      </c>
      <c r="G30" s="5" t="inlineStr">
        <is>
          <t>进入签到页，展示活动信息、统计、核销码、参与者列表</t>
        </is>
      </c>
      <c r="H30" s="5" t="inlineStr"/>
      <c r="I30" s="5" t="inlineStr">
        <is>
          <t>未测</t>
        </is>
      </c>
      <c r="J30" s="5" t="inlineStr"/>
      <c r="K30" s="5" t="inlineStr"/>
      <c r="L30" s="5" t="inlineStr"/>
      <c r="M30" s="5" t="inlineStr"/>
    </row>
    <row r="31" ht="42" customHeight="1">
      <c r="A31" s="6" t="inlineStr">
        <is>
          <t>SG-E2E-030</t>
        </is>
      </c>
      <c r="B31" s="6" t="inlineStr">
        <is>
          <t>B 入场凭证</t>
        </is>
      </c>
      <c r="C31" s="6" t="inlineStr">
        <is>
          <t>P0</t>
        </is>
      </c>
      <c r="D31" s="6" t="inlineStr">
        <is>
          <t>主流程</t>
        </is>
      </c>
      <c r="E31" s="6" t="inlineStr">
        <is>
          <t>B 已支付/已加入</t>
        </is>
      </c>
      <c r="F31" s="6" t="inlineStr">
        <is>
          <t>B 打开参与者中心</t>
        </is>
      </c>
      <c r="G31" s="6" t="inlineStr">
        <is>
          <t>展示入场凭证、核销码或签到状态</t>
        </is>
      </c>
      <c r="H31" s="6" t="inlineStr"/>
      <c r="I31" s="6" t="inlineStr">
        <is>
          <t>未测</t>
        </is>
      </c>
      <c r="J31" s="6" t="inlineStr"/>
      <c r="K31" s="6" t="inlineStr"/>
      <c r="L31" s="6" t="inlineStr"/>
      <c r="M31" s="6" t="inlineStr"/>
    </row>
    <row r="32" ht="42" customHeight="1">
      <c r="A32" s="5" t="inlineStr">
        <is>
          <t>SG-E2E-031</t>
        </is>
      </c>
      <c r="B32" s="5" t="inlineStr">
        <is>
          <t>A 手动核销</t>
        </is>
      </c>
      <c r="C32" s="5" t="inlineStr">
        <is>
          <t>P0</t>
        </is>
      </c>
      <c r="D32" s="5" t="inlineStr">
        <is>
          <t>主流程</t>
        </is>
      </c>
      <c r="E32" s="5" t="inlineStr">
        <is>
          <t>B 未签到</t>
        </is>
      </c>
      <c r="F32" s="5" t="inlineStr">
        <is>
          <t>A 输入合法核销码或选择待核销成员确认</t>
        </is>
      </c>
      <c r="G32" s="5" t="inlineStr">
        <is>
          <t>B 签到成功，已签到人数 +1</t>
        </is>
      </c>
      <c r="H32" s="5" t="inlineStr"/>
      <c r="I32" s="5" t="inlineStr">
        <is>
          <t>未测</t>
        </is>
      </c>
      <c r="J32" s="5" t="inlineStr"/>
      <c r="K32" s="5" t="inlineStr"/>
      <c r="L32" s="5" t="inlineStr"/>
      <c r="M32" s="5" t="inlineStr"/>
    </row>
    <row r="33" ht="42" customHeight="1">
      <c r="A33" s="6" t="inlineStr">
        <is>
          <t>SG-E2E-032</t>
        </is>
      </c>
      <c r="B33" s="6" t="inlineStr">
        <is>
          <t>A 扫码核销</t>
        </is>
      </c>
      <c r="C33" s="6" t="inlineStr">
        <is>
          <t>P1</t>
        </is>
      </c>
      <c r="D33" s="6" t="inlineStr">
        <is>
          <t>能力</t>
        </is>
      </c>
      <c r="E33" s="6" t="inlineStr">
        <is>
          <t>存在未签到参与者</t>
        </is>
      </c>
      <c r="F33" s="6" t="inlineStr">
        <is>
          <t>A 点击扫码/模拟扫码</t>
        </is>
      </c>
      <c r="G33" s="6" t="inlineStr">
        <is>
          <t>真机调起扫码；失败或模拟器下有 fallback；核销状态更新</t>
        </is>
      </c>
      <c r="H33" s="6" t="inlineStr"/>
      <c r="I33" s="6" t="inlineStr">
        <is>
          <t>未测</t>
        </is>
      </c>
      <c r="J33" s="6" t="inlineStr"/>
      <c r="K33" s="6" t="inlineStr"/>
      <c r="L33" s="6" t="inlineStr"/>
      <c r="M33" s="6" t="inlineStr"/>
    </row>
    <row r="34" ht="42" customHeight="1">
      <c r="A34" s="5" t="inlineStr">
        <is>
          <t>SG-E2E-033</t>
        </is>
      </c>
      <c r="B34" s="5" t="inlineStr">
        <is>
          <t>重复签到拦截</t>
        </is>
      </c>
      <c r="C34" s="5" t="inlineStr">
        <is>
          <t>P1</t>
        </is>
      </c>
      <c r="D34" s="5" t="inlineStr">
        <is>
          <t>异常</t>
        </is>
      </c>
      <c r="E34" s="5" t="inlineStr">
        <is>
          <t>B 已签到</t>
        </is>
      </c>
      <c r="F34" s="5" t="inlineStr">
        <is>
          <t>A 再次核销 B，或 B 再次点击签到</t>
        </is>
      </c>
      <c r="G34" s="5" t="inlineStr">
        <is>
          <t>不新增重复签到记录，提示已签到</t>
        </is>
      </c>
      <c r="H34" s="5" t="inlineStr"/>
      <c r="I34" s="5" t="inlineStr">
        <is>
          <t>未测</t>
        </is>
      </c>
      <c r="J34" s="5" t="inlineStr"/>
      <c r="K34" s="5" t="inlineStr"/>
      <c r="L34" s="5" t="inlineStr"/>
      <c r="M34" s="5" t="inlineStr"/>
    </row>
    <row r="35" ht="42" customHeight="1">
      <c r="A35" s="6" t="inlineStr">
        <is>
          <t>SG-E2E-034</t>
        </is>
      </c>
      <c r="B35" s="6" t="inlineStr">
        <is>
          <t>签到消息</t>
        </is>
      </c>
      <c r="C35" s="6" t="inlineStr">
        <is>
          <t>P1</t>
        </is>
      </c>
      <c r="D35" s="6" t="inlineStr">
        <is>
          <t>通知</t>
        </is>
      </c>
      <c r="E35" s="6" t="inlineStr">
        <is>
          <t>B 已签到</t>
        </is>
      </c>
      <c r="F35" s="6" t="inlineStr">
        <is>
          <t>B 打开消息页</t>
        </is>
      </c>
      <c r="G35" s="6" t="inlineStr">
        <is>
          <t>可看到签到成功/活动提醒类消息，或有合理状态反馈</t>
        </is>
      </c>
      <c r="H35" s="6" t="inlineStr"/>
      <c r="I35" s="6" t="inlineStr">
        <is>
          <t>未测</t>
        </is>
      </c>
      <c r="J35" s="6" t="inlineStr"/>
      <c r="K35" s="6" t="inlineStr"/>
      <c r="L35" s="6" t="inlineStr"/>
      <c r="M35" s="6" t="inlineStr"/>
    </row>
    <row r="36" ht="42" customHeight="1">
      <c r="A36" s="5" t="inlineStr">
        <is>
          <t>SG-E2E-035</t>
        </is>
      </c>
      <c r="B36" s="5" t="inlineStr">
        <is>
          <t>分享活动</t>
        </is>
      </c>
      <c r="C36" s="5" t="inlineStr">
        <is>
          <t>P1</t>
        </is>
      </c>
      <c r="D36" s="5" t="inlineStr">
        <is>
          <t>增长</t>
        </is>
      </c>
      <c r="E36" s="5" t="inlineStr">
        <is>
          <t>活动详情可用</t>
        </is>
      </c>
      <c r="F36" s="5" t="inlineStr">
        <is>
          <t>点击分享按钮</t>
        </is>
      </c>
      <c r="G36" s="5" t="inlineStr">
        <is>
          <t>微信转发路径包含活动 id，分享卡片标题正确</t>
        </is>
      </c>
      <c r="H36" s="5" t="inlineStr"/>
      <c r="I36" s="5" t="inlineStr">
        <is>
          <t>未测</t>
        </is>
      </c>
      <c r="J36" s="5" t="inlineStr"/>
      <c r="K36" s="5" t="inlineStr"/>
      <c r="L36" s="5" t="inlineStr"/>
      <c r="M36" s="5" t="inlineStr"/>
    </row>
    <row r="37" ht="42" customHeight="1">
      <c r="A37" s="6" t="inlineStr">
        <is>
          <t>SG-E2E-036</t>
        </is>
      </c>
      <c r="B37" s="6" t="inlineStr">
        <is>
          <t>分享落地</t>
        </is>
      </c>
      <c r="C37" s="6" t="inlineStr">
        <is>
          <t>P1</t>
        </is>
      </c>
      <c r="D37" s="6" t="inlineStr">
        <is>
          <t>增长</t>
        </is>
      </c>
      <c r="E37" s="6" t="inlineStr">
        <is>
          <t>另一微信号收到分享</t>
        </is>
      </c>
      <c r="F37" s="6" t="inlineStr">
        <is>
          <t>从分享卡片进入</t>
        </is>
      </c>
      <c r="G37" s="6" t="inlineStr">
        <is>
          <t>直接打开对应活动详情页</t>
        </is>
      </c>
      <c r="H37" s="6" t="inlineStr"/>
      <c r="I37" s="6" t="inlineStr">
        <is>
          <t>未测</t>
        </is>
      </c>
      <c r="J37" s="6" t="inlineStr"/>
      <c r="K37" s="6" t="inlineStr"/>
      <c r="L37" s="6" t="inlineStr"/>
      <c r="M37" s="6" t="inlineStr"/>
    </row>
    <row r="38" ht="42" customHeight="1">
      <c r="A38" s="5" t="inlineStr">
        <is>
          <t>SG-E2E-037</t>
        </is>
      </c>
      <c r="B38" s="5" t="inlineStr">
        <is>
          <t>海报页</t>
        </is>
      </c>
      <c r="C38" s="5" t="inlineStr">
        <is>
          <t>P1</t>
        </is>
      </c>
      <c r="D38" s="5" t="inlineStr">
        <is>
          <t>增长</t>
        </is>
      </c>
      <c r="E38" s="5" t="inlineStr">
        <is>
          <t>活动详情可用</t>
        </is>
      </c>
      <c r="F38" s="5" t="inlineStr">
        <is>
          <t>点击生成海报</t>
        </is>
      </c>
      <c r="G38" s="5" t="inlineStr">
        <is>
          <t>进入海报页，展示封面、标题、时间地点、路径/占位码</t>
        </is>
      </c>
      <c r="H38" s="5" t="inlineStr"/>
      <c r="I38" s="5" t="inlineStr">
        <is>
          <t>未测</t>
        </is>
      </c>
      <c r="J38" s="5" t="inlineStr"/>
      <c r="K38" s="5" t="inlineStr"/>
      <c r="L38" s="5" t="inlineStr"/>
      <c r="M38" s="5" t="inlineStr"/>
    </row>
    <row r="39" ht="42" customHeight="1">
      <c r="A39" s="6" t="inlineStr">
        <is>
          <t>SG-E2E-038</t>
        </is>
      </c>
      <c r="B39" s="6" t="inlineStr">
        <is>
          <t>保存海报</t>
        </is>
      </c>
      <c r="C39" s="6" t="inlineStr">
        <is>
          <t>P2</t>
        </is>
      </c>
      <c r="D39" s="6" t="inlineStr">
        <is>
          <t>能力</t>
        </is>
      </c>
      <c r="E39" s="6" t="inlineStr">
        <is>
          <t>真机测试</t>
        </is>
      </c>
      <c r="F39" s="6" t="inlineStr">
        <is>
          <t>点击保存海报</t>
        </is>
      </c>
      <c r="G39" s="6" t="inlineStr">
        <is>
          <t>授权成功则保存相册；失败则提示清晰，不影响转发</t>
        </is>
      </c>
      <c r="H39" s="6" t="inlineStr"/>
      <c r="I39" s="6" t="inlineStr">
        <is>
          <t>未测</t>
        </is>
      </c>
      <c r="J39" s="6" t="inlineStr"/>
      <c r="K39" s="6" t="inlineStr"/>
      <c r="L39" s="6" t="inlineStr"/>
      <c r="M39" s="6" t="inlineStr"/>
    </row>
    <row r="40" ht="42" customHeight="1">
      <c r="A40" s="5" t="inlineStr">
        <is>
          <t>SG-E2E-039</t>
        </is>
      </c>
      <c r="B40" s="5" t="inlineStr">
        <is>
          <t>用户中心</t>
        </is>
      </c>
      <c r="C40" s="5" t="inlineStr">
        <is>
          <t>P1</t>
        </is>
      </c>
      <c r="D40" s="5" t="inlineStr">
        <is>
          <t>功能</t>
        </is>
      </c>
      <c r="E40" s="5" t="inlineStr">
        <is>
          <t>A/B 已登录</t>
        </is>
      </c>
      <c r="F40" s="5" t="inlineStr">
        <is>
          <t>进入用户中心</t>
        </is>
      </c>
      <c r="G40" s="5" t="inlineStr">
        <is>
          <t>显示头像、昵称、活动、评价、订单等内容</t>
        </is>
      </c>
      <c r="H40" s="5" t="inlineStr"/>
      <c r="I40" s="5" t="inlineStr">
        <is>
          <t>未测</t>
        </is>
      </c>
      <c r="J40" s="5" t="inlineStr"/>
      <c r="K40" s="5" t="inlineStr"/>
      <c r="L40" s="5" t="inlineStr"/>
      <c r="M40" s="5" t="inlineStr"/>
    </row>
    <row r="41" ht="42" customHeight="1">
      <c r="A41" s="6" t="inlineStr">
        <is>
          <t>SG-E2E-040</t>
        </is>
      </c>
      <c r="B41" s="6" t="inlineStr">
        <is>
          <t>编辑资料</t>
        </is>
      </c>
      <c r="C41" s="6" t="inlineStr">
        <is>
          <t>P1</t>
        </is>
      </c>
      <c r="D41" s="6" t="inlineStr">
        <is>
          <t>功能</t>
        </is>
      </c>
      <c r="E41" s="6" t="inlineStr">
        <is>
          <t>用户已登录</t>
        </is>
      </c>
      <c r="F41" s="6" t="inlineStr">
        <is>
          <t>修改昵称、简介、MBTI、头像后保存</t>
        </is>
      </c>
      <c r="G41" s="6" t="inlineStr">
        <is>
          <t>保存成功，重新进入用户中心仍显示新资料</t>
        </is>
      </c>
      <c r="H41" s="6" t="inlineStr"/>
      <c r="I41" s="6" t="inlineStr">
        <is>
          <t>未测</t>
        </is>
      </c>
      <c r="J41" s="6" t="inlineStr"/>
      <c r="K41" s="6" t="inlineStr"/>
      <c r="L41" s="6" t="inlineStr"/>
      <c r="M41" s="6" t="inlineStr"/>
    </row>
    <row r="42" ht="42" customHeight="1">
      <c r="A42" s="5" t="inlineStr">
        <is>
          <t>SG-E2E-041</t>
        </is>
      </c>
      <c r="B42" s="5" t="inlineStr">
        <is>
          <t>我的活动</t>
        </is>
      </c>
      <c r="C42" s="5" t="inlineStr">
        <is>
          <t>P0</t>
        </is>
      </c>
      <c r="D42" s="5" t="inlineStr">
        <is>
          <t>主流程</t>
        </is>
      </c>
      <c r="E42" s="5" t="inlineStr">
        <is>
          <t>A 创建、B 参加</t>
        </is>
      </c>
      <c r="F42" s="5" t="inlineStr">
        <is>
          <t>分别进入我的活动页</t>
        </is>
      </c>
      <c r="G42" s="5" t="inlineStr">
        <is>
          <t>A 在主办中看到活动，B 在参加/申请中看到记录</t>
        </is>
      </c>
      <c r="H42" s="5" t="inlineStr"/>
      <c r="I42" s="5" t="inlineStr">
        <is>
          <t>未测</t>
        </is>
      </c>
      <c r="J42" s="5" t="inlineStr"/>
      <c r="K42" s="5" t="inlineStr"/>
      <c r="L42" s="5" t="inlineStr"/>
      <c r="M42" s="5" t="inlineStr"/>
    </row>
    <row r="43" ht="42" customHeight="1">
      <c r="A43" s="6" t="inlineStr">
        <is>
          <t>SG-E2E-042</t>
        </is>
      </c>
      <c r="B43" s="6" t="inlineStr">
        <is>
          <t>消息已读</t>
        </is>
      </c>
      <c r="C43" s="6" t="inlineStr">
        <is>
          <t>P2</t>
        </is>
      </c>
      <c r="D43" s="6" t="inlineStr">
        <is>
          <t>通知</t>
        </is>
      </c>
      <c r="E43" s="6" t="inlineStr">
        <is>
          <t>消息页有未读消息</t>
        </is>
      </c>
      <c r="F43" s="6" t="inlineStr">
        <is>
          <t>点击消息或全部已读</t>
        </is>
      </c>
      <c r="G43" s="6" t="inlineStr">
        <is>
          <t>未读状态更新，刷新后仍保持</t>
        </is>
      </c>
      <c r="H43" s="6" t="inlineStr"/>
      <c r="I43" s="6" t="inlineStr">
        <is>
          <t>未测</t>
        </is>
      </c>
      <c r="J43" s="6" t="inlineStr"/>
      <c r="K43" s="6" t="inlineStr"/>
      <c r="L43" s="6" t="inlineStr"/>
      <c r="M43" s="6" t="inlineStr"/>
    </row>
    <row r="44" ht="42" customHeight="1">
      <c r="A44" s="5" t="inlineStr">
        <is>
          <t>SG-E2E-043</t>
        </is>
      </c>
      <c r="B44" s="5" t="inlineStr">
        <is>
          <t>举报活动</t>
        </is>
      </c>
      <c r="C44" s="5" t="inlineStr">
        <is>
          <t>P1</t>
        </is>
      </c>
      <c r="D44" s="5" t="inlineStr">
        <is>
          <t>治理</t>
        </is>
      </c>
      <c r="E44" s="5" t="inlineStr">
        <is>
          <t>B 在详情页</t>
        </is>
      </c>
      <c r="F44" s="5" t="inlineStr">
        <is>
          <t>点击举报该活动，提交原因</t>
        </is>
      </c>
      <c r="G44" s="5" t="inlineStr">
        <is>
          <t>举报成功，生成举报记录</t>
        </is>
      </c>
      <c r="H44" s="5" t="inlineStr"/>
      <c r="I44" s="5" t="inlineStr">
        <is>
          <t>未测</t>
        </is>
      </c>
      <c r="J44" s="5" t="inlineStr"/>
      <c r="K44" s="5" t="inlineStr"/>
      <c r="L44" s="5" t="inlineStr"/>
      <c r="M44" s="5" t="inlineStr"/>
    </row>
    <row r="45" ht="42" customHeight="1">
      <c r="A45" s="6" t="inlineStr">
        <is>
          <t>SG-E2E-044</t>
        </is>
      </c>
      <c r="B45" s="6" t="inlineStr">
        <is>
          <t>运营台入口</t>
        </is>
      </c>
      <c r="C45" s="6" t="inlineStr">
        <is>
          <t>P1</t>
        </is>
      </c>
      <c r="D45" s="6" t="inlineStr">
        <is>
          <t>运营</t>
        </is>
      </c>
      <c r="E45" s="6" t="inlineStr">
        <is>
          <t>A 有 admin/operator 角色</t>
        </is>
      </c>
      <c r="F45" s="6" t="inlineStr">
        <is>
          <t>A 进入用户中心</t>
        </is>
      </c>
      <c r="G45" s="6" t="inlineStr">
        <is>
          <t>显示运营入口，可进入运营台</t>
        </is>
      </c>
      <c r="H45" s="6" t="inlineStr"/>
      <c r="I45" s="6" t="inlineStr">
        <is>
          <t>未测</t>
        </is>
      </c>
      <c r="J45" s="6" t="inlineStr"/>
      <c r="K45" s="6" t="inlineStr"/>
      <c r="L45" s="6" t="inlineStr"/>
      <c r="M45" s="6" t="inlineStr"/>
    </row>
    <row r="46" ht="42" customHeight="1">
      <c r="A46" s="5" t="inlineStr">
        <is>
          <t>SG-E2E-045</t>
        </is>
      </c>
      <c r="B46" s="5" t="inlineStr">
        <is>
          <t>运营看板</t>
        </is>
      </c>
      <c r="C46" s="5" t="inlineStr">
        <is>
          <t>P1</t>
        </is>
      </c>
      <c r="D46" s="5" t="inlineStr">
        <is>
          <t>运营</t>
        </is>
      </c>
      <c r="E46" s="5" t="inlineStr">
        <is>
          <t>已有活动/报名/订单/签到数据</t>
        </is>
      </c>
      <c r="F46" s="5" t="inlineStr">
        <is>
          <t>A 打开运营台</t>
        </is>
      </c>
      <c r="G46" s="5" t="inlineStr">
        <is>
          <t>看板显示活动数、报名数、订单、签到率等</t>
        </is>
      </c>
      <c r="H46" s="5" t="inlineStr"/>
      <c r="I46" s="5" t="inlineStr">
        <is>
          <t>未测</t>
        </is>
      </c>
      <c r="J46" s="5" t="inlineStr"/>
      <c r="K46" s="5" t="inlineStr"/>
      <c r="L46" s="5" t="inlineStr"/>
      <c r="M46" s="5" t="inlineStr"/>
    </row>
    <row r="47" ht="42" customHeight="1">
      <c r="A47" s="6" t="inlineStr">
        <is>
          <t>SG-E2E-046</t>
        </is>
      </c>
      <c r="B47" s="6" t="inlineStr">
        <is>
          <t>举报处理</t>
        </is>
      </c>
      <c r="C47" s="6" t="inlineStr">
        <is>
          <t>P1</t>
        </is>
      </c>
      <c r="D47" s="6" t="inlineStr">
        <is>
          <t>治理</t>
        </is>
      </c>
      <c r="E47" s="6" t="inlineStr">
        <is>
          <t>有举报记录</t>
        </is>
      </c>
      <c r="F47" s="6" t="inlineStr">
        <is>
          <t>A 进入举报页，处理为已解决/驳回</t>
        </is>
      </c>
      <c r="G47" s="6" t="inlineStr">
        <is>
          <t>举报状态更新，相关用户收到系统通知</t>
        </is>
      </c>
      <c r="H47" s="6" t="inlineStr"/>
      <c r="I47" s="6" t="inlineStr">
        <is>
          <t>未测</t>
        </is>
      </c>
      <c r="J47" s="6" t="inlineStr"/>
      <c r="K47" s="6" t="inlineStr"/>
      <c r="L47" s="6" t="inlineStr"/>
      <c r="M47" s="6" t="inlineStr"/>
    </row>
    <row r="48" ht="42" customHeight="1">
      <c r="A48" s="5" t="inlineStr">
        <is>
          <t>SG-E2E-047</t>
        </is>
      </c>
      <c r="B48" s="5" t="inlineStr">
        <is>
          <t>活动下架</t>
        </is>
      </c>
      <c r="C48" s="5" t="inlineStr">
        <is>
          <t>P1</t>
        </is>
      </c>
      <c r="D48" s="5" t="inlineStr">
        <is>
          <t>治理</t>
        </is>
      </c>
      <c r="E48" s="5" t="inlineStr">
        <is>
          <t>A 有运营权限</t>
        </is>
      </c>
      <c r="F48" s="5" t="inlineStr">
        <is>
          <t>运营台对活动执行下架</t>
        </is>
      </c>
      <c r="G48" s="5" t="inlineStr">
        <is>
          <t>活动状态变为下架，详情/列表有对应提示或不可报名</t>
        </is>
      </c>
      <c r="H48" s="5" t="inlineStr"/>
      <c r="I48" s="5" t="inlineStr">
        <is>
          <t>未测</t>
        </is>
      </c>
      <c r="J48" s="5" t="inlineStr"/>
      <c r="K48" s="5" t="inlineStr"/>
      <c r="L48" s="5" t="inlineStr"/>
      <c r="M48" s="5" t="inlineStr"/>
    </row>
    <row r="49" ht="42" customHeight="1">
      <c r="A49" s="6" t="inlineStr">
        <is>
          <t>SG-E2E-048</t>
        </is>
      </c>
      <c r="B49" s="6" t="inlineStr">
        <is>
          <t>活动恢复</t>
        </is>
      </c>
      <c r="C49" s="6" t="inlineStr">
        <is>
          <t>P2</t>
        </is>
      </c>
      <c r="D49" s="6" t="inlineStr">
        <is>
          <t>治理</t>
        </is>
      </c>
      <c r="E49" s="6" t="inlineStr">
        <is>
          <t>活动已下架</t>
        </is>
      </c>
      <c r="F49" s="6" t="inlineStr">
        <is>
          <t>运营台恢复展示</t>
        </is>
      </c>
      <c r="G49" s="6" t="inlineStr">
        <is>
          <t>活动重新可见，状态一致</t>
        </is>
      </c>
      <c r="H49" s="6" t="inlineStr"/>
      <c r="I49" s="6" t="inlineStr">
        <is>
          <t>未测</t>
        </is>
      </c>
      <c r="J49" s="6" t="inlineStr"/>
      <c r="K49" s="6" t="inlineStr"/>
      <c r="L49" s="6" t="inlineStr"/>
      <c r="M49" s="6" t="inlineStr"/>
    </row>
  </sheetData>
  <autoFilter ref="A1:M49"/>
  <conditionalFormatting sqref="I2">
    <cfRule type="expression" priority="1" dxfId="0">
      <formula>$I2="通过"</formula>
    </cfRule>
    <cfRule type="expression" priority="2" dxfId="1">
      <formula>$I2="失败"</formula>
    </cfRule>
    <cfRule type="expression" priority="3" dxfId="2">
      <formula>$I2="阻塞"</formula>
    </cfRule>
  </conditionalFormatting>
  <conditionalFormatting sqref="I3">
    <cfRule type="expression" priority="4" dxfId="0">
      <formula>$I3="通过"</formula>
    </cfRule>
    <cfRule type="expression" priority="5" dxfId="1">
      <formula>$I3="失败"</formula>
    </cfRule>
    <cfRule type="expression" priority="6" dxfId="2">
      <formula>$I3="阻塞"</formula>
    </cfRule>
  </conditionalFormatting>
  <conditionalFormatting sqref="I4">
    <cfRule type="expression" priority="7" dxfId="0">
      <formula>$I4="通过"</formula>
    </cfRule>
    <cfRule type="expression" priority="8" dxfId="1">
      <formula>$I4="失败"</formula>
    </cfRule>
    <cfRule type="expression" priority="9" dxfId="2">
      <formula>$I4="阻塞"</formula>
    </cfRule>
  </conditionalFormatting>
  <conditionalFormatting sqref="I5">
    <cfRule type="expression" priority="10" dxfId="0">
      <formula>$I5="通过"</formula>
    </cfRule>
    <cfRule type="expression" priority="11" dxfId="1">
      <formula>$I5="失败"</formula>
    </cfRule>
    <cfRule type="expression" priority="12" dxfId="2">
      <formula>$I5="阻塞"</formula>
    </cfRule>
  </conditionalFormatting>
  <conditionalFormatting sqref="I6">
    <cfRule type="expression" priority="13" dxfId="0">
      <formula>$I6="通过"</formula>
    </cfRule>
    <cfRule type="expression" priority="14" dxfId="1">
      <formula>$I6="失败"</formula>
    </cfRule>
    <cfRule type="expression" priority="15" dxfId="2">
      <formula>$I6="阻塞"</formula>
    </cfRule>
  </conditionalFormatting>
  <conditionalFormatting sqref="I7">
    <cfRule type="expression" priority="16" dxfId="0">
      <formula>$I7="通过"</formula>
    </cfRule>
    <cfRule type="expression" priority="17" dxfId="1">
      <formula>$I7="失败"</formula>
    </cfRule>
    <cfRule type="expression" priority="18" dxfId="2">
      <formula>$I7="阻塞"</formula>
    </cfRule>
  </conditionalFormatting>
  <conditionalFormatting sqref="I8">
    <cfRule type="expression" priority="19" dxfId="0">
      <formula>$I8="通过"</formula>
    </cfRule>
    <cfRule type="expression" priority="20" dxfId="1">
      <formula>$I8="失败"</formula>
    </cfRule>
    <cfRule type="expression" priority="21" dxfId="2">
      <formula>$I8="阻塞"</formula>
    </cfRule>
  </conditionalFormatting>
  <conditionalFormatting sqref="I9">
    <cfRule type="expression" priority="22" dxfId="0">
      <formula>$I9="通过"</formula>
    </cfRule>
    <cfRule type="expression" priority="23" dxfId="1">
      <formula>$I9="失败"</formula>
    </cfRule>
    <cfRule type="expression" priority="24" dxfId="2">
      <formula>$I9="阻塞"</formula>
    </cfRule>
  </conditionalFormatting>
  <conditionalFormatting sqref="I10">
    <cfRule type="expression" priority="25" dxfId="0">
      <formula>$I10="通过"</formula>
    </cfRule>
    <cfRule type="expression" priority="26" dxfId="1">
      <formula>$I10="失败"</formula>
    </cfRule>
    <cfRule type="expression" priority="27" dxfId="2">
      <formula>$I10="阻塞"</formula>
    </cfRule>
  </conditionalFormatting>
  <conditionalFormatting sqref="I11">
    <cfRule type="expression" priority="28" dxfId="0">
      <formula>$I11="通过"</formula>
    </cfRule>
    <cfRule type="expression" priority="29" dxfId="1">
      <formula>$I11="失败"</formula>
    </cfRule>
    <cfRule type="expression" priority="30" dxfId="2">
      <formula>$I11="阻塞"</formula>
    </cfRule>
  </conditionalFormatting>
  <conditionalFormatting sqref="I12">
    <cfRule type="expression" priority="31" dxfId="0">
      <formula>$I12="通过"</formula>
    </cfRule>
    <cfRule type="expression" priority="32" dxfId="1">
      <formula>$I12="失败"</formula>
    </cfRule>
    <cfRule type="expression" priority="33" dxfId="2">
      <formula>$I12="阻塞"</formula>
    </cfRule>
  </conditionalFormatting>
  <conditionalFormatting sqref="I13">
    <cfRule type="expression" priority="34" dxfId="0">
      <formula>$I13="通过"</formula>
    </cfRule>
    <cfRule type="expression" priority="35" dxfId="1">
      <formula>$I13="失败"</formula>
    </cfRule>
    <cfRule type="expression" priority="36" dxfId="2">
      <formula>$I13="阻塞"</formula>
    </cfRule>
  </conditionalFormatting>
  <conditionalFormatting sqref="I14">
    <cfRule type="expression" priority="37" dxfId="0">
      <formula>$I14="通过"</formula>
    </cfRule>
    <cfRule type="expression" priority="38" dxfId="1">
      <formula>$I14="失败"</formula>
    </cfRule>
    <cfRule type="expression" priority="39" dxfId="2">
      <formula>$I14="阻塞"</formula>
    </cfRule>
  </conditionalFormatting>
  <conditionalFormatting sqref="I15">
    <cfRule type="expression" priority="40" dxfId="0">
      <formula>$I15="通过"</formula>
    </cfRule>
    <cfRule type="expression" priority="41" dxfId="1">
      <formula>$I15="失败"</formula>
    </cfRule>
    <cfRule type="expression" priority="42" dxfId="2">
      <formula>$I15="阻塞"</formula>
    </cfRule>
  </conditionalFormatting>
  <conditionalFormatting sqref="I16">
    <cfRule type="expression" priority="43" dxfId="0">
      <formula>$I16="通过"</formula>
    </cfRule>
    <cfRule type="expression" priority="44" dxfId="1">
      <formula>$I16="失败"</formula>
    </cfRule>
    <cfRule type="expression" priority="45" dxfId="2">
      <formula>$I16="阻塞"</formula>
    </cfRule>
  </conditionalFormatting>
  <conditionalFormatting sqref="I17">
    <cfRule type="expression" priority="46" dxfId="0">
      <formula>$I17="通过"</formula>
    </cfRule>
    <cfRule type="expression" priority="47" dxfId="1">
      <formula>$I17="失败"</formula>
    </cfRule>
    <cfRule type="expression" priority="48" dxfId="2">
      <formula>$I17="阻塞"</formula>
    </cfRule>
  </conditionalFormatting>
  <conditionalFormatting sqref="I18">
    <cfRule type="expression" priority="49" dxfId="0">
      <formula>$I18="通过"</formula>
    </cfRule>
    <cfRule type="expression" priority="50" dxfId="1">
      <formula>$I18="失败"</formula>
    </cfRule>
    <cfRule type="expression" priority="51" dxfId="2">
      <formula>$I18="阻塞"</formula>
    </cfRule>
  </conditionalFormatting>
  <conditionalFormatting sqref="I19">
    <cfRule type="expression" priority="52" dxfId="0">
      <formula>$I19="通过"</formula>
    </cfRule>
    <cfRule type="expression" priority="53" dxfId="1">
      <formula>$I19="失败"</formula>
    </cfRule>
    <cfRule type="expression" priority="54" dxfId="2">
      <formula>$I19="阻塞"</formula>
    </cfRule>
  </conditionalFormatting>
  <conditionalFormatting sqref="I20">
    <cfRule type="expression" priority="55" dxfId="0">
      <formula>$I20="通过"</formula>
    </cfRule>
    <cfRule type="expression" priority="56" dxfId="1">
      <formula>$I20="失败"</formula>
    </cfRule>
    <cfRule type="expression" priority="57" dxfId="2">
      <formula>$I20="阻塞"</formula>
    </cfRule>
  </conditionalFormatting>
  <conditionalFormatting sqref="I21">
    <cfRule type="expression" priority="58" dxfId="0">
      <formula>$I21="通过"</formula>
    </cfRule>
    <cfRule type="expression" priority="59" dxfId="1">
      <formula>$I21="失败"</formula>
    </cfRule>
    <cfRule type="expression" priority="60" dxfId="2">
      <formula>$I21="阻塞"</formula>
    </cfRule>
  </conditionalFormatting>
  <conditionalFormatting sqref="I22">
    <cfRule type="expression" priority="61" dxfId="0">
      <formula>$I22="通过"</formula>
    </cfRule>
    <cfRule type="expression" priority="62" dxfId="1">
      <formula>$I22="失败"</formula>
    </cfRule>
    <cfRule type="expression" priority="63" dxfId="2">
      <formula>$I22="阻塞"</formula>
    </cfRule>
  </conditionalFormatting>
  <conditionalFormatting sqref="I23">
    <cfRule type="expression" priority="64" dxfId="0">
      <formula>$I23="通过"</formula>
    </cfRule>
    <cfRule type="expression" priority="65" dxfId="1">
      <formula>$I23="失败"</formula>
    </cfRule>
    <cfRule type="expression" priority="66" dxfId="2">
      <formula>$I23="阻塞"</formula>
    </cfRule>
  </conditionalFormatting>
  <conditionalFormatting sqref="I24">
    <cfRule type="expression" priority="67" dxfId="0">
      <formula>$I24="通过"</formula>
    </cfRule>
    <cfRule type="expression" priority="68" dxfId="1">
      <formula>$I24="失败"</formula>
    </cfRule>
    <cfRule type="expression" priority="69" dxfId="2">
      <formula>$I24="阻塞"</formula>
    </cfRule>
  </conditionalFormatting>
  <conditionalFormatting sqref="I25">
    <cfRule type="expression" priority="70" dxfId="0">
      <formula>$I25="通过"</formula>
    </cfRule>
    <cfRule type="expression" priority="71" dxfId="1">
      <formula>$I25="失败"</formula>
    </cfRule>
    <cfRule type="expression" priority="72" dxfId="2">
      <formula>$I25="阻塞"</formula>
    </cfRule>
  </conditionalFormatting>
  <conditionalFormatting sqref="I26">
    <cfRule type="expression" priority="73" dxfId="0">
      <formula>$I26="通过"</formula>
    </cfRule>
    <cfRule type="expression" priority="74" dxfId="1">
      <formula>$I26="失败"</formula>
    </cfRule>
    <cfRule type="expression" priority="75" dxfId="2">
      <formula>$I26="阻塞"</formula>
    </cfRule>
  </conditionalFormatting>
  <conditionalFormatting sqref="I27">
    <cfRule type="expression" priority="76" dxfId="0">
      <formula>$I27="通过"</formula>
    </cfRule>
    <cfRule type="expression" priority="77" dxfId="1">
      <formula>$I27="失败"</formula>
    </cfRule>
    <cfRule type="expression" priority="78" dxfId="2">
      <formula>$I27="阻塞"</formula>
    </cfRule>
  </conditionalFormatting>
  <conditionalFormatting sqref="I28">
    <cfRule type="expression" priority="79" dxfId="0">
      <formula>$I28="通过"</formula>
    </cfRule>
    <cfRule type="expression" priority="80" dxfId="1">
      <formula>$I28="失败"</formula>
    </cfRule>
    <cfRule type="expression" priority="81" dxfId="2">
      <formula>$I28="阻塞"</formula>
    </cfRule>
  </conditionalFormatting>
  <conditionalFormatting sqref="I29">
    <cfRule type="expression" priority="82" dxfId="0">
      <formula>$I29="通过"</formula>
    </cfRule>
    <cfRule type="expression" priority="83" dxfId="1">
      <formula>$I29="失败"</formula>
    </cfRule>
    <cfRule type="expression" priority="84" dxfId="2">
      <formula>$I29="阻塞"</formula>
    </cfRule>
  </conditionalFormatting>
  <conditionalFormatting sqref="I30">
    <cfRule type="expression" priority="85" dxfId="0">
      <formula>$I30="通过"</formula>
    </cfRule>
    <cfRule type="expression" priority="86" dxfId="1">
      <formula>$I30="失败"</formula>
    </cfRule>
    <cfRule type="expression" priority="87" dxfId="2">
      <formula>$I30="阻塞"</formula>
    </cfRule>
  </conditionalFormatting>
  <conditionalFormatting sqref="I31">
    <cfRule type="expression" priority="88" dxfId="0">
      <formula>$I31="通过"</formula>
    </cfRule>
    <cfRule type="expression" priority="89" dxfId="1">
      <formula>$I31="失败"</formula>
    </cfRule>
    <cfRule type="expression" priority="90" dxfId="2">
      <formula>$I31="阻塞"</formula>
    </cfRule>
  </conditionalFormatting>
  <conditionalFormatting sqref="I32">
    <cfRule type="expression" priority="91" dxfId="0">
      <formula>$I32="通过"</formula>
    </cfRule>
    <cfRule type="expression" priority="92" dxfId="1">
      <formula>$I32="失败"</formula>
    </cfRule>
    <cfRule type="expression" priority="93" dxfId="2">
      <formula>$I32="阻塞"</formula>
    </cfRule>
  </conditionalFormatting>
  <conditionalFormatting sqref="I33">
    <cfRule type="expression" priority="94" dxfId="0">
      <formula>$I33="通过"</formula>
    </cfRule>
    <cfRule type="expression" priority="95" dxfId="1">
      <formula>$I33="失败"</formula>
    </cfRule>
    <cfRule type="expression" priority="96" dxfId="2">
      <formula>$I33="阻塞"</formula>
    </cfRule>
  </conditionalFormatting>
  <conditionalFormatting sqref="I34">
    <cfRule type="expression" priority="97" dxfId="0">
      <formula>$I34="通过"</formula>
    </cfRule>
    <cfRule type="expression" priority="98" dxfId="1">
      <formula>$I34="失败"</formula>
    </cfRule>
    <cfRule type="expression" priority="99" dxfId="2">
      <formula>$I34="阻塞"</formula>
    </cfRule>
  </conditionalFormatting>
  <conditionalFormatting sqref="I35">
    <cfRule type="expression" priority="100" dxfId="0">
      <formula>$I35="通过"</formula>
    </cfRule>
    <cfRule type="expression" priority="101" dxfId="1">
      <formula>$I35="失败"</formula>
    </cfRule>
    <cfRule type="expression" priority="102" dxfId="2">
      <formula>$I35="阻塞"</formula>
    </cfRule>
  </conditionalFormatting>
  <conditionalFormatting sqref="I36">
    <cfRule type="expression" priority="103" dxfId="0">
      <formula>$I36="通过"</formula>
    </cfRule>
    <cfRule type="expression" priority="104" dxfId="1">
      <formula>$I36="失败"</formula>
    </cfRule>
    <cfRule type="expression" priority="105" dxfId="2">
      <formula>$I36="阻塞"</formula>
    </cfRule>
  </conditionalFormatting>
  <conditionalFormatting sqref="I37">
    <cfRule type="expression" priority="106" dxfId="0">
      <formula>$I37="通过"</formula>
    </cfRule>
    <cfRule type="expression" priority="107" dxfId="1">
      <formula>$I37="失败"</formula>
    </cfRule>
    <cfRule type="expression" priority="108" dxfId="2">
      <formula>$I37="阻塞"</formula>
    </cfRule>
  </conditionalFormatting>
  <conditionalFormatting sqref="I38">
    <cfRule type="expression" priority="109" dxfId="0">
      <formula>$I38="通过"</formula>
    </cfRule>
    <cfRule type="expression" priority="110" dxfId="1">
      <formula>$I38="失败"</formula>
    </cfRule>
    <cfRule type="expression" priority="111" dxfId="2">
      <formula>$I38="阻塞"</formula>
    </cfRule>
  </conditionalFormatting>
  <conditionalFormatting sqref="I39">
    <cfRule type="expression" priority="112" dxfId="0">
      <formula>$I39="通过"</formula>
    </cfRule>
    <cfRule type="expression" priority="113" dxfId="1">
      <formula>$I39="失败"</formula>
    </cfRule>
    <cfRule type="expression" priority="114" dxfId="2">
      <formula>$I39="阻塞"</formula>
    </cfRule>
  </conditionalFormatting>
  <conditionalFormatting sqref="I40">
    <cfRule type="expression" priority="115" dxfId="0">
      <formula>$I40="通过"</formula>
    </cfRule>
    <cfRule type="expression" priority="116" dxfId="1">
      <formula>$I40="失败"</formula>
    </cfRule>
    <cfRule type="expression" priority="117" dxfId="2">
      <formula>$I40="阻塞"</formula>
    </cfRule>
  </conditionalFormatting>
  <conditionalFormatting sqref="I41">
    <cfRule type="expression" priority="118" dxfId="0">
      <formula>$I41="通过"</formula>
    </cfRule>
    <cfRule type="expression" priority="119" dxfId="1">
      <formula>$I41="失败"</formula>
    </cfRule>
    <cfRule type="expression" priority="120" dxfId="2">
      <formula>$I41="阻塞"</formula>
    </cfRule>
  </conditionalFormatting>
  <conditionalFormatting sqref="I42">
    <cfRule type="expression" priority="121" dxfId="0">
      <formula>$I42="通过"</formula>
    </cfRule>
    <cfRule type="expression" priority="122" dxfId="1">
      <formula>$I42="失败"</formula>
    </cfRule>
    <cfRule type="expression" priority="123" dxfId="2">
      <formula>$I42="阻塞"</formula>
    </cfRule>
  </conditionalFormatting>
  <conditionalFormatting sqref="I43">
    <cfRule type="expression" priority="124" dxfId="0">
      <formula>$I43="通过"</formula>
    </cfRule>
    <cfRule type="expression" priority="125" dxfId="1">
      <formula>$I43="失败"</formula>
    </cfRule>
    <cfRule type="expression" priority="126" dxfId="2">
      <formula>$I43="阻塞"</formula>
    </cfRule>
  </conditionalFormatting>
  <conditionalFormatting sqref="I44">
    <cfRule type="expression" priority="127" dxfId="0">
      <formula>$I44="通过"</formula>
    </cfRule>
    <cfRule type="expression" priority="128" dxfId="1">
      <formula>$I44="失败"</formula>
    </cfRule>
    <cfRule type="expression" priority="129" dxfId="2">
      <formula>$I44="阻塞"</formula>
    </cfRule>
  </conditionalFormatting>
  <conditionalFormatting sqref="I45">
    <cfRule type="expression" priority="130" dxfId="0">
      <formula>$I45="通过"</formula>
    </cfRule>
    <cfRule type="expression" priority="131" dxfId="1">
      <formula>$I45="失败"</formula>
    </cfRule>
    <cfRule type="expression" priority="132" dxfId="2">
      <formula>$I45="阻塞"</formula>
    </cfRule>
  </conditionalFormatting>
  <conditionalFormatting sqref="I46">
    <cfRule type="expression" priority="133" dxfId="0">
      <formula>$I46="通过"</formula>
    </cfRule>
    <cfRule type="expression" priority="134" dxfId="1">
      <formula>$I46="失败"</formula>
    </cfRule>
    <cfRule type="expression" priority="135" dxfId="2">
      <formula>$I46="阻塞"</formula>
    </cfRule>
  </conditionalFormatting>
  <conditionalFormatting sqref="I47">
    <cfRule type="expression" priority="136" dxfId="0">
      <formula>$I47="通过"</formula>
    </cfRule>
    <cfRule type="expression" priority="137" dxfId="1">
      <formula>$I47="失败"</formula>
    </cfRule>
    <cfRule type="expression" priority="138" dxfId="2">
      <formula>$I47="阻塞"</formula>
    </cfRule>
  </conditionalFormatting>
  <conditionalFormatting sqref="I48">
    <cfRule type="expression" priority="139" dxfId="0">
      <formula>$I48="通过"</formula>
    </cfRule>
    <cfRule type="expression" priority="140" dxfId="1">
      <formula>$I48="失败"</formula>
    </cfRule>
    <cfRule type="expression" priority="141" dxfId="2">
      <formula>$I48="阻塞"</formula>
    </cfRule>
  </conditionalFormatting>
  <conditionalFormatting sqref="I49">
    <cfRule type="expression" priority="142" dxfId="0">
      <formula>$I49="通过"</formula>
    </cfRule>
    <cfRule type="expression" priority="143" dxfId="1">
      <formula>$I49="失败"</formula>
    </cfRule>
    <cfRule type="expression" priority="144" dxfId="2">
      <formula>$I49="阻塞"</formula>
    </cfRule>
  </conditionalFormatting>
  <dataValidations count="2">
    <dataValidation sqref="I2:I49" showDropDown="0" showInputMessage="0" showErrorMessage="0" allowBlank="1" type="list">
      <formula1>"未测,通过,失败,阻塞,跳过"</formula1>
    </dataValidation>
    <dataValidation sqref="C2:C49" showDropDown="0" showInputMessage="0" showErrorMessage="0" allowBlank="1" type="list">
      <formula1>"P0,P1,P2,P3"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8" customWidth="1" min="3" max="3"/>
    <col width="12" customWidth="1" min="4" max="4"/>
    <col width="28" customWidth="1" min="5" max="5"/>
    <col width="42" customWidth="1" min="6" max="6"/>
    <col width="42" customWidth="1" min="7" max="7"/>
    <col width="30" customWidth="1" min="8" max="8"/>
    <col width="10" customWidth="1" min="9" max="9"/>
    <col width="14" customWidth="1" min="10" max="10"/>
    <col width="12" customWidth="1" min="11" max="11"/>
    <col width="16" customWidth="1" min="12" max="12"/>
    <col width="24" customWidth="1" min="13" max="13"/>
  </cols>
  <sheetData>
    <row r="1" ht="28" customHeight="1">
      <c r="A1" s="4" t="inlineStr">
        <is>
          <t>用例ID</t>
        </is>
      </c>
      <c r="B1" s="4" t="inlineStr">
        <is>
          <t>模块</t>
        </is>
      </c>
      <c r="C1" s="4" t="inlineStr">
        <is>
          <t>优先级</t>
        </is>
      </c>
      <c r="D1" s="4" t="inlineStr">
        <is>
          <t>测试类型</t>
        </is>
      </c>
      <c r="E1" s="4" t="inlineStr">
        <is>
          <t>前置条件</t>
        </is>
      </c>
      <c r="F1" s="4" t="inlineStr">
        <is>
          <t>测试步骤</t>
        </is>
      </c>
      <c r="G1" s="4" t="inlineStr">
        <is>
          <t>预期结果</t>
        </is>
      </c>
      <c r="H1" s="4" t="inlineStr">
        <is>
          <t>实际结果</t>
        </is>
      </c>
      <c r="I1" s="4" t="inlineStr">
        <is>
          <t>状态</t>
        </is>
      </c>
      <c r="J1" s="4" t="inlineStr">
        <is>
          <t>缺陷ID</t>
        </is>
      </c>
      <c r="K1" s="4" t="inlineStr">
        <is>
          <t>负责人</t>
        </is>
      </c>
      <c r="L1" s="4" t="inlineStr">
        <is>
          <t>测试时间</t>
        </is>
      </c>
      <c r="M1" s="4" t="inlineStr">
        <is>
          <t>备注</t>
        </is>
      </c>
    </row>
    <row r="2" ht="42" customHeight="1">
      <c r="A2" s="5" t="inlineStr">
        <is>
          <t>SG-NEG-001</t>
        </is>
      </c>
      <c r="B2" s="5" t="inlineStr">
        <is>
          <t>未登录报名</t>
        </is>
      </c>
      <c r="C2" s="5" t="inlineStr">
        <is>
          <t>P0</t>
        </is>
      </c>
      <c r="D2" s="5" t="inlineStr">
        <is>
          <t>异常</t>
        </is>
      </c>
      <c r="E2" s="5" t="inlineStr">
        <is>
          <t>清缓存或退出登录</t>
        </is>
      </c>
      <c r="F2" s="5" t="inlineStr">
        <is>
          <t>进入详情点击报名</t>
        </is>
      </c>
      <c r="G2" s="5" t="inlineStr">
        <is>
          <t>跳转登录页，登录后返回报名流程</t>
        </is>
      </c>
      <c r="H2" s="5" t="inlineStr"/>
      <c r="I2" s="5" t="inlineStr">
        <is>
          <t>未测</t>
        </is>
      </c>
      <c r="J2" s="5" t="inlineStr"/>
      <c r="K2" s="5" t="inlineStr"/>
      <c r="L2" s="5" t="inlineStr"/>
      <c r="M2" s="5" t="inlineStr"/>
    </row>
    <row r="3" ht="42" customHeight="1">
      <c r="A3" s="6" t="inlineStr">
        <is>
          <t>SG-NEG-002</t>
        </is>
      </c>
      <c r="B3" s="6" t="inlineStr">
        <is>
          <t>未登录创建</t>
        </is>
      </c>
      <c r="C3" s="6" t="inlineStr">
        <is>
          <t>P0</t>
        </is>
      </c>
      <c r="D3" s="6" t="inlineStr">
        <is>
          <t>异常</t>
        </is>
      </c>
      <c r="E3" s="6" t="inlineStr">
        <is>
          <t>清缓存或退出登录</t>
        </is>
      </c>
      <c r="F3" s="6" t="inlineStr">
        <is>
          <t>点击底部 +</t>
        </is>
      </c>
      <c r="G3" s="6" t="inlineStr">
        <is>
          <t>跳转登录页，登录后进入创建页</t>
        </is>
      </c>
      <c r="H3" s="6" t="inlineStr"/>
      <c r="I3" s="6" t="inlineStr">
        <is>
          <t>未测</t>
        </is>
      </c>
      <c r="J3" s="6" t="inlineStr"/>
      <c r="K3" s="6" t="inlineStr"/>
      <c r="L3" s="6" t="inlineStr"/>
      <c r="M3" s="6" t="inlineStr"/>
    </row>
    <row r="4" ht="42" customHeight="1">
      <c r="A4" s="5" t="inlineStr">
        <is>
          <t>SG-NEG-003</t>
        </is>
      </c>
      <c r="B4" s="5" t="inlineStr">
        <is>
          <t>云函数失败</t>
        </is>
      </c>
      <c r="C4" s="5" t="inlineStr">
        <is>
          <t>P0</t>
        </is>
      </c>
      <c r="D4" s="5" t="inlineStr">
        <is>
          <t>异常</t>
        </is>
      </c>
      <c r="E4" s="5" t="inlineStr">
        <is>
          <t>临时断网或云函数异常</t>
        </is>
      </c>
      <c r="F4" s="5" t="inlineStr">
        <is>
          <t>打开核心页或提交操作</t>
        </is>
      </c>
      <c r="G4" s="5" t="inlineStr">
        <is>
          <t>页面不白屏，提示云端调用失败</t>
        </is>
      </c>
      <c r="H4" s="5" t="inlineStr"/>
      <c r="I4" s="5" t="inlineStr">
        <is>
          <t>未测</t>
        </is>
      </c>
      <c r="J4" s="5" t="inlineStr"/>
      <c r="K4" s="5" t="inlineStr"/>
      <c r="L4" s="5" t="inlineStr"/>
      <c r="M4" s="5" t="inlineStr"/>
    </row>
    <row r="5" ht="42" customHeight="1">
      <c r="A5" s="6" t="inlineStr">
        <is>
          <t>SG-NEG-004</t>
        </is>
      </c>
      <c r="B5" s="6" t="inlineStr">
        <is>
          <t>空活动列表</t>
        </is>
      </c>
      <c r="C5" s="6" t="inlineStr">
        <is>
          <t>P2</t>
        </is>
      </c>
      <c r="D5" s="6" t="inlineStr">
        <is>
          <t>边界</t>
        </is>
      </c>
      <c r="E5" s="6" t="inlineStr">
        <is>
          <t>清空测试活动数据</t>
        </is>
      </c>
      <c r="F5" s="6" t="inlineStr">
        <is>
          <t>进入首页/发现页</t>
        </is>
      </c>
      <c r="G5" s="6" t="inlineStr">
        <is>
          <t>显示空状态，不报错</t>
        </is>
      </c>
      <c r="H5" s="6" t="inlineStr"/>
      <c r="I5" s="6" t="inlineStr">
        <is>
          <t>未测</t>
        </is>
      </c>
      <c r="J5" s="6" t="inlineStr"/>
      <c r="K5" s="6" t="inlineStr"/>
      <c r="L5" s="6" t="inlineStr"/>
      <c r="M5" s="6" t="inlineStr"/>
    </row>
    <row r="6" ht="42" customHeight="1">
      <c r="A6" s="5" t="inlineStr">
        <is>
          <t>SG-NEG-005</t>
        </is>
      </c>
      <c r="B6" s="5" t="inlineStr">
        <is>
          <t>活动满员</t>
        </is>
      </c>
      <c r="C6" s="5" t="inlineStr">
        <is>
          <t>P1</t>
        </is>
      </c>
      <c r="D6" s="5" t="inlineStr">
        <is>
          <t>边界</t>
        </is>
      </c>
      <c r="E6" s="5" t="inlineStr">
        <is>
          <t>活动人数达到上限</t>
        </is>
      </c>
      <c r="F6" s="5" t="inlineStr">
        <is>
          <t>新用户尝试报名</t>
        </is>
      </c>
      <c r="G6" s="5" t="inlineStr">
        <is>
          <t>提示名额已满，不新增申请</t>
        </is>
      </c>
      <c r="H6" s="5" t="inlineStr"/>
      <c r="I6" s="5" t="inlineStr">
        <is>
          <t>未测</t>
        </is>
      </c>
      <c r="J6" s="5" t="inlineStr"/>
      <c r="K6" s="5" t="inlineStr"/>
      <c r="L6" s="5" t="inlineStr"/>
      <c r="M6" s="5" t="inlineStr"/>
    </row>
    <row r="7" ht="42" customHeight="1">
      <c r="A7" s="6" t="inlineStr">
        <is>
          <t>SG-NEG-006</t>
        </is>
      </c>
      <c r="B7" s="6" t="inlineStr">
        <is>
          <t>活动已结束</t>
        </is>
      </c>
      <c r="C7" s="6" t="inlineStr">
        <is>
          <t>P1</t>
        </is>
      </c>
      <c r="D7" s="6" t="inlineStr">
        <is>
          <t>边界</t>
        </is>
      </c>
      <c r="E7" s="6" t="inlineStr">
        <is>
          <t>活动状态为已结束</t>
        </is>
      </c>
      <c r="F7" s="6" t="inlineStr">
        <is>
          <t>用户尝试报名</t>
        </is>
      </c>
      <c r="G7" s="6" t="inlineStr">
        <is>
          <t>不允许报名，显示状态说明</t>
        </is>
      </c>
      <c r="H7" s="6" t="inlineStr"/>
      <c r="I7" s="6" t="inlineStr">
        <is>
          <t>未测</t>
        </is>
      </c>
      <c r="J7" s="6" t="inlineStr"/>
      <c r="K7" s="6" t="inlineStr"/>
      <c r="L7" s="6" t="inlineStr"/>
      <c r="M7" s="6" t="inlineStr"/>
    </row>
    <row r="8" ht="42" customHeight="1">
      <c r="A8" s="5" t="inlineStr">
        <is>
          <t>SG-NEG-007</t>
        </is>
      </c>
      <c r="B8" s="5" t="inlineStr">
        <is>
          <t>审核拒绝</t>
        </is>
      </c>
      <c r="C8" s="5" t="inlineStr">
        <is>
          <t>P1</t>
        </is>
      </c>
      <c r="D8" s="5" t="inlineStr">
        <is>
          <t>异常</t>
        </is>
      </c>
      <c r="E8" s="5" t="inlineStr">
        <is>
          <t>B 已提交申请</t>
        </is>
      </c>
      <c r="F8" s="5" t="inlineStr">
        <is>
          <t>A 拒绝 B 申请并填写原因</t>
        </is>
      </c>
      <c r="G8" s="5" t="inlineStr">
        <is>
          <t>B 状态为拒绝，不能进入支付/签到，消息展示原因</t>
        </is>
      </c>
      <c r="H8" s="5" t="inlineStr"/>
      <c r="I8" s="5" t="inlineStr">
        <is>
          <t>未测</t>
        </is>
      </c>
      <c r="J8" s="5" t="inlineStr"/>
      <c r="K8" s="5" t="inlineStr"/>
      <c r="L8" s="5" t="inlineStr"/>
      <c r="M8" s="5" t="inlineStr"/>
    </row>
    <row r="9" ht="42" customHeight="1">
      <c r="A9" s="6" t="inlineStr">
        <is>
          <t>SG-NEG-008</t>
        </is>
      </c>
      <c r="B9" s="6" t="inlineStr">
        <is>
          <t>订单关闭</t>
        </is>
      </c>
      <c r="C9" s="6" t="inlineStr">
        <is>
          <t>P1</t>
        </is>
      </c>
      <c r="D9" s="6" t="inlineStr">
        <is>
          <t>异常</t>
        </is>
      </c>
      <c r="E9" s="6" t="inlineStr">
        <is>
          <t>B 有待支付订单</t>
        </is>
      </c>
      <c r="F9" s="6" t="inlineStr">
        <is>
          <t>B 关闭订单</t>
        </is>
      </c>
      <c r="G9" s="6" t="inlineStr">
        <is>
          <t>状态为 closed，不能继续签到，详情只读</t>
        </is>
      </c>
      <c r="H9" s="6" t="inlineStr"/>
      <c r="I9" s="6" t="inlineStr">
        <is>
          <t>未测</t>
        </is>
      </c>
      <c r="J9" s="6" t="inlineStr"/>
      <c r="K9" s="6" t="inlineStr"/>
      <c r="L9" s="6" t="inlineStr"/>
      <c r="M9" s="6" t="inlineStr"/>
    </row>
    <row r="10" ht="42" customHeight="1">
      <c r="A10" s="5" t="inlineStr">
        <is>
          <t>SG-NEG-009</t>
        </is>
      </c>
      <c r="B10" s="5" t="inlineStr">
        <is>
          <t>模拟退款</t>
        </is>
      </c>
      <c r="C10" s="5" t="inlineStr">
        <is>
          <t>P1</t>
        </is>
      </c>
      <c r="D10" s="5" t="inlineStr">
        <is>
          <t>异常</t>
        </is>
      </c>
      <c r="E10" s="5" t="inlineStr">
        <is>
          <t>B 有已支付订单</t>
        </is>
      </c>
      <c r="F10" s="5" t="inlineStr">
        <is>
          <t>执行退款状态流转</t>
        </is>
      </c>
      <c r="G10" s="5" t="inlineStr">
        <is>
          <t>用户中心、参与者中心、订单详情均显示 refunded</t>
        </is>
      </c>
      <c r="H10" s="5" t="inlineStr"/>
      <c r="I10" s="5" t="inlineStr">
        <is>
          <t>未测</t>
        </is>
      </c>
      <c r="J10" s="5" t="inlineStr"/>
      <c r="K10" s="5" t="inlineStr"/>
      <c r="L10" s="5" t="inlineStr"/>
      <c r="M10" s="5" t="inlineStr"/>
    </row>
    <row r="11" ht="42" customHeight="1">
      <c r="A11" s="6" t="inlineStr">
        <is>
          <t>SG-NEG-010</t>
        </is>
      </c>
      <c r="B11" s="6" t="inlineStr">
        <is>
          <t>无相册权限</t>
        </is>
      </c>
      <c r="C11" s="6" t="inlineStr">
        <is>
          <t>P2</t>
        </is>
      </c>
      <c r="D11" s="6" t="inlineStr">
        <is>
          <t>权限</t>
        </is>
      </c>
      <c r="E11" s="6" t="inlineStr">
        <is>
          <t>真机拒绝保存相册授权</t>
        </is>
      </c>
      <c r="F11" s="6" t="inlineStr">
        <is>
          <t>点击保存海报</t>
        </is>
      </c>
      <c r="G11" s="6" t="inlineStr">
        <is>
          <t>显示授权失败提示，不影响分享/复制路径</t>
        </is>
      </c>
      <c r="H11" s="6" t="inlineStr"/>
      <c r="I11" s="6" t="inlineStr">
        <is>
          <t>未测</t>
        </is>
      </c>
      <c r="J11" s="6" t="inlineStr"/>
      <c r="K11" s="6" t="inlineStr"/>
      <c r="L11" s="6" t="inlineStr"/>
      <c r="M11" s="6" t="inlineStr"/>
    </row>
    <row r="12" ht="42" customHeight="1">
      <c r="A12" s="5" t="inlineStr">
        <is>
          <t>SG-NEG-011</t>
        </is>
      </c>
      <c r="B12" s="5" t="inlineStr">
        <is>
          <t>位置权限失败</t>
        </is>
      </c>
      <c r="C12" s="5" t="inlineStr">
        <is>
          <t>P2</t>
        </is>
      </c>
      <c r="D12" s="5" t="inlineStr">
        <is>
          <t>权限</t>
        </is>
      </c>
      <c r="E12" s="5" t="inlineStr">
        <is>
          <t>拒绝位置授权</t>
        </is>
      </c>
      <c r="F12" s="5" t="inlineStr">
        <is>
          <t>创建/详情使用地图能力</t>
        </is>
      </c>
      <c r="G12" s="5" t="inlineStr">
        <is>
          <t>有提示，文本地点仍可用</t>
        </is>
      </c>
      <c r="H12" s="5" t="inlineStr"/>
      <c r="I12" s="5" t="inlineStr">
        <is>
          <t>未测</t>
        </is>
      </c>
      <c r="J12" s="5" t="inlineStr"/>
      <c r="K12" s="5" t="inlineStr"/>
      <c r="L12" s="5" t="inlineStr"/>
      <c r="M12" s="5" t="inlineStr"/>
    </row>
    <row r="13" ht="42" customHeight="1">
      <c r="A13" s="6" t="inlineStr">
        <is>
          <t>SG-NEG-012</t>
        </is>
      </c>
      <c r="B13" s="6" t="inlineStr">
        <is>
          <t>扫码权限失败</t>
        </is>
      </c>
      <c r="C13" s="6" t="inlineStr">
        <is>
          <t>P2</t>
        </is>
      </c>
      <c r="D13" s="6" t="inlineStr">
        <is>
          <t>权限</t>
        </is>
      </c>
      <c r="E13" s="6" t="inlineStr">
        <is>
          <t>真机拒绝扫码或模拟器点击扫码</t>
        </is>
      </c>
      <c r="F13" s="6" t="inlineStr">
        <is>
          <t>A 点击扫码核销</t>
        </is>
      </c>
      <c r="G13" s="6" t="inlineStr">
        <is>
          <t>保留手动核销 fallback</t>
        </is>
      </c>
      <c r="H13" s="6" t="inlineStr"/>
      <c r="I13" s="6" t="inlineStr">
        <is>
          <t>未测</t>
        </is>
      </c>
      <c r="J13" s="6" t="inlineStr"/>
      <c r="K13" s="6" t="inlineStr"/>
      <c r="L13" s="6" t="inlineStr"/>
      <c r="M13" s="6" t="inlineStr"/>
    </row>
  </sheetData>
  <autoFilter ref="A1:M13"/>
  <conditionalFormatting sqref="I2">
    <cfRule type="expression" priority="1" dxfId="0">
      <formula>$I2="通过"</formula>
    </cfRule>
    <cfRule type="expression" priority="2" dxfId="1">
      <formula>$I2="失败"</formula>
    </cfRule>
    <cfRule type="expression" priority="3" dxfId="2">
      <formula>$I2="阻塞"</formula>
    </cfRule>
  </conditionalFormatting>
  <conditionalFormatting sqref="I3">
    <cfRule type="expression" priority="4" dxfId="0">
      <formula>$I3="通过"</formula>
    </cfRule>
    <cfRule type="expression" priority="5" dxfId="1">
      <formula>$I3="失败"</formula>
    </cfRule>
    <cfRule type="expression" priority="6" dxfId="2">
      <formula>$I3="阻塞"</formula>
    </cfRule>
  </conditionalFormatting>
  <conditionalFormatting sqref="I4">
    <cfRule type="expression" priority="7" dxfId="0">
      <formula>$I4="通过"</formula>
    </cfRule>
    <cfRule type="expression" priority="8" dxfId="1">
      <formula>$I4="失败"</formula>
    </cfRule>
    <cfRule type="expression" priority="9" dxfId="2">
      <formula>$I4="阻塞"</formula>
    </cfRule>
  </conditionalFormatting>
  <conditionalFormatting sqref="I5">
    <cfRule type="expression" priority="10" dxfId="0">
      <formula>$I5="通过"</formula>
    </cfRule>
    <cfRule type="expression" priority="11" dxfId="1">
      <formula>$I5="失败"</formula>
    </cfRule>
    <cfRule type="expression" priority="12" dxfId="2">
      <formula>$I5="阻塞"</formula>
    </cfRule>
  </conditionalFormatting>
  <conditionalFormatting sqref="I6">
    <cfRule type="expression" priority="13" dxfId="0">
      <formula>$I6="通过"</formula>
    </cfRule>
    <cfRule type="expression" priority="14" dxfId="1">
      <formula>$I6="失败"</formula>
    </cfRule>
    <cfRule type="expression" priority="15" dxfId="2">
      <formula>$I6="阻塞"</formula>
    </cfRule>
  </conditionalFormatting>
  <conditionalFormatting sqref="I7">
    <cfRule type="expression" priority="16" dxfId="0">
      <formula>$I7="通过"</formula>
    </cfRule>
    <cfRule type="expression" priority="17" dxfId="1">
      <formula>$I7="失败"</formula>
    </cfRule>
    <cfRule type="expression" priority="18" dxfId="2">
      <formula>$I7="阻塞"</formula>
    </cfRule>
  </conditionalFormatting>
  <conditionalFormatting sqref="I8">
    <cfRule type="expression" priority="19" dxfId="0">
      <formula>$I8="通过"</formula>
    </cfRule>
    <cfRule type="expression" priority="20" dxfId="1">
      <formula>$I8="失败"</formula>
    </cfRule>
    <cfRule type="expression" priority="21" dxfId="2">
      <formula>$I8="阻塞"</formula>
    </cfRule>
  </conditionalFormatting>
  <conditionalFormatting sqref="I9">
    <cfRule type="expression" priority="22" dxfId="0">
      <formula>$I9="通过"</formula>
    </cfRule>
    <cfRule type="expression" priority="23" dxfId="1">
      <formula>$I9="失败"</formula>
    </cfRule>
    <cfRule type="expression" priority="24" dxfId="2">
      <formula>$I9="阻塞"</formula>
    </cfRule>
  </conditionalFormatting>
  <conditionalFormatting sqref="I10">
    <cfRule type="expression" priority="25" dxfId="0">
      <formula>$I10="通过"</formula>
    </cfRule>
    <cfRule type="expression" priority="26" dxfId="1">
      <formula>$I10="失败"</formula>
    </cfRule>
    <cfRule type="expression" priority="27" dxfId="2">
      <formula>$I10="阻塞"</formula>
    </cfRule>
  </conditionalFormatting>
  <conditionalFormatting sqref="I11">
    <cfRule type="expression" priority="28" dxfId="0">
      <formula>$I11="通过"</formula>
    </cfRule>
    <cfRule type="expression" priority="29" dxfId="1">
      <formula>$I11="失败"</formula>
    </cfRule>
    <cfRule type="expression" priority="30" dxfId="2">
      <formula>$I11="阻塞"</formula>
    </cfRule>
  </conditionalFormatting>
  <conditionalFormatting sqref="I12">
    <cfRule type="expression" priority="31" dxfId="0">
      <formula>$I12="通过"</formula>
    </cfRule>
    <cfRule type="expression" priority="32" dxfId="1">
      <formula>$I12="失败"</formula>
    </cfRule>
    <cfRule type="expression" priority="33" dxfId="2">
      <formula>$I12="阻塞"</formula>
    </cfRule>
  </conditionalFormatting>
  <conditionalFormatting sqref="I13">
    <cfRule type="expression" priority="34" dxfId="0">
      <formula>$I13="通过"</formula>
    </cfRule>
    <cfRule type="expression" priority="35" dxfId="1">
      <formula>$I13="失败"</formula>
    </cfRule>
    <cfRule type="expression" priority="36" dxfId="2">
      <formula>$I13="阻塞"</formula>
    </cfRule>
  </conditionalFormatting>
  <dataValidations count="2">
    <dataValidation sqref="I2:I13" showDropDown="0" showInputMessage="0" showErrorMessage="0" allowBlank="1" type="list">
      <formula1>"未测,通过,失败,阻塞,跳过"</formula1>
    </dataValidation>
    <dataValidation sqref="C2:C13" showDropDown="0" showInputMessage="0" showErrorMessage="0" allowBlank="1" type="list">
      <formula1>"P0,P1,P2,P3"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8" customWidth="1" min="3" max="3"/>
    <col width="12" customWidth="1" min="4" max="4"/>
    <col width="28" customWidth="1" min="5" max="5"/>
    <col width="42" customWidth="1" min="6" max="6"/>
    <col width="42" customWidth="1" min="7" max="7"/>
    <col width="30" customWidth="1" min="8" max="8"/>
    <col width="10" customWidth="1" min="9" max="9"/>
    <col width="14" customWidth="1" min="10" max="10"/>
    <col width="12" customWidth="1" min="11" max="11"/>
    <col width="16" customWidth="1" min="12" max="12"/>
    <col width="24" customWidth="1" min="13" max="13"/>
  </cols>
  <sheetData>
    <row r="1" ht="28" customHeight="1">
      <c r="A1" s="4" t="inlineStr">
        <is>
          <t>用例ID</t>
        </is>
      </c>
      <c r="B1" s="4" t="inlineStr">
        <is>
          <t>模块</t>
        </is>
      </c>
      <c r="C1" s="4" t="inlineStr">
        <is>
          <t>优先级</t>
        </is>
      </c>
      <c r="D1" s="4" t="inlineStr">
        <is>
          <t>测试类型</t>
        </is>
      </c>
      <c r="E1" s="4" t="inlineStr">
        <is>
          <t>前置条件</t>
        </is>
      </c>
      <c r="F1" s="4" t="inlineStr">
        <is>
          <t>测试步骤</t>
        </is>
      </c>
      <c r="G1" s="4" t="inlineStr">
        <is>
          <t>预期结果</t>
        </is>
      </c>
      <c r="H1" s="4" t="inlineStr">
        <is>
          <t>实际结果</t>
        </is>
      </c>
      <c r="I1" s="4" t="inlineStr">
        <is>
          <t>状态</t>
        </is>
      </c>
      <c r="J1" s="4" t="inlineStr">
        <is>
          <t>缺陷ID</t>
        </is>
      </c>
      <c r="K1" s="4" t="inlineStr">
        <is>
          <t>负责人</t>
        </is>
      </c>
      <c r="L1" s="4" t="inlineStr">
        <is>
          <t>测试时间</t>
        </is>
      </c>
      <c r="M1" s="4" t="inlineStr">
        <is>
          <t>备注</t>
        </is>
      </c>
    </row>
    <row r="2" ht="42" customHeight="1">
      <c r="A2" s="5" t="inlineStr">
        <is>
          <t>SG-UI-001</t>
        </is>
      </c>
      <c r="B2" s="5" t="inlineStr">
        <is>
          <t>iPhone 小屏</t>
        </is>
      </c>
      <c r="C2" s="5" t="inlineStr">
        <is>
          <t>P1</t>
        </is>
      </c>
      <c r="D2" s="5" t="inlineStr">
        <is>
          <t>兼容</t>
        </is>
      </c>
      <c r="E2" s="5" t="inlineStr">
        <is>
          <t>微信开发者工具/真机小屏</t>
        </is>
      </c>
      <c r="F2" s="5" t="inlineStr">
        <is>
          <t>预览首页、详情、创建、订单、海报</t>
        </is>
      </c>
      <c r="G2" s="5" t="inlineStr">
        <is>
          <t>无横向滚动、按钮不遮挡</t>
        </is>
      </c>
      <c r="H2" s="5" t="inlineStr"/>
      <c r="I2" s="5" t="inlineStr">
        <is>
          <t>未测</t>
        </is>
      </c>
      <c r="J2" s="5" t="inlineStr"/>
      <c r="K2" s="5" t="inlineStr"/>
      <c r="L2" s="5" t="inlineStr"/>
      <c r="M2" s="5" t="inlineStr"/>
    </row>
    <row r="3" ht="42" customHeight="1">
      <c r="A3" s="6" t="inlineStr">
        <is>
          <t>SG-UI-002</t>
        </is>
      </c>
      <c r="B3" s="6" t="inlineStr">
        <is>
          <t>Android 普通屏</t>
        </is>
      </c>
      <c r="C3" s="6" t="inlineStr">
        <is>
          <t>P1</t>
        </is>
      </c>
      <c r="D3" s="6" t="inlineStr">
        <is>
          <t>兼容</t>
        </is>
      </c>
      <c r="E3" s="6" t="inlineStr">
        <is>
          <t>Android 真机</t>
        </is>
      </c>
      <c r="F3" s="6" t="inlineStr">
        <is>
          <t>完整体验核心流程</t>
        </is>
      </c>
      <c r="G3" s="6" t="inlineStr">
        <is>
          <t>布局稳定，底部 Dock 不挡 CTA</t>
        </is>
      </c>
      <c r="H3" s="6" t="inlineStr"/>
      <c r="I3" s="6" t="inlineStr">
        <is>
          <t>未测</t>
        </is>
      </c>
      <c r="J3" s="6" t="inlineStr"/>
      <c r="K3" s="6" t="inlineStr"/>
      <c r="L3" s="6" t="inlineStr"/>
      <c r="M3" s="6" t="inlineStr"/>
    </row>
    <row r="4" ht="42" customHeight="1">
      <c r="A4" s="5" t="inlineStr">
        <is>
          <t>SG-UI-003</t>
        </is>
      </c>
      <c r="B4" s="5" t="inlineStr">
        <is>
          <t>大屏手机</t>
        </is>
      </c>
      <c r="C4" s="5" t="inlineStr">
        <is>
          <t>P2</t>
        </is>
      </c>
      <c r="D4" s="5" t="inlineStr">
        <is>
          <t>兼容</t>
        </is>
      </c>
      <c r="E4" s="5" t="inlineStr">
        <is>
          <t>大屏设备</t>
        </is>
      </c>
      <c r="F4" s="5" t="inlineStr">
        <is>
          <t>查看首页、发现、管理页</t>
        </is>
      </c>
      <c r="G4" s="5" t="inlineStr">
        <is>
          <t>内容宽度自然，卡片不拉伸失控</t>
        </is>
      </c>
      <c r="H4" s="5" t="inlineStr"/>
      <c r="I4" s="5" t="inlineStr">
        <is>
          <t>未测</t>
        </is>
      </c>
      <c r="J4" s="5" t="inlineStr"/>
      <c r="K4" s="5" t="inlineStr"/>
      <c r="L4" s="5" t="inlineStr"/>
      <c r="M4" s="5" t="inlineStr"/>
    </row>
    <row r="5" ht="42" customHeight="1">
      <c r="A5" s="6" t="inlineStr">
        <is>
          <t>SG-UI-004</t>
        </is>
      </c>
      <c r="B5" s="6" t="inlineStr">
        <is>
          <t>图片加载</t>
        </is>
      </c>
      <c r="C5" s="6" t="inlineStr">
        <is>
          <t>P1</t>
        </is>
      </c>
      <c r="D5" s="6" t="inlineStr">
        <is>
          <t>资源</t>
        </is>
      </c>
      <c r="E5" s="6" t="inlineStr">
        <is>
          <t>合法域名已配置</t>
        </is>
      </c>
      <c r="F5" s="6" t="inlineStr">
        <is>
          <t>查看封面、头像、海报</t>
        </is>
      </c>
      <c r="G5" s="6" t="inlineStr">
        <is>
          <t>云存储图片正常显示，外链失败有兜底</t>
        </is>
      </c>
      <c r="H5" s="6" t="inlineStr"/>
      <c r="I5" s="6" t="inlineStr">
        <is>
          <t>未测</t>
        </is>
      </c>
      <c r="J5" s="6" t="inlineStr"/>
      <c r="K5" s="6" t="inlineStr"/>
      <c r="L5" s="6" t="inlineStr"/>
      <c r="M5" s="6" t="inlineStr"/>
    </row>
    <row r="6" ht="42" customHeight="1">
      <c r="A6" s="5" t="inlineStr">
        <is>
          <t>SG-UI-005</t>
        </is>
      </c>
      <c r="B6" s="5" t="inlineStr">
        <is>
          <t>Toast 反馈</t>
        </is>
      </c>
      <c r="C6" s="5" t="inlineStr">
        <is>
          <t>P2</t>
        </is>
      </c>
      <c r="D6" s="5" t="inlineStr">
        <is>
          <t>体验</t>
        </is>
      </c>
      <c r="E6" s="5" t="inlineStr">
        <is>
          <t>核心按钮可用</t>
        </is>
      </c>
      <c r="F6" s="5" t="inlineStr">
        <is>
          <t>点击提交、审核、支付、签到、保存</t>
        </is>
      </c>
      <c r="G6" s="5" t="inlineStr">
        <is>
          <t>均有成功/失败反馈</t>
        </is>
      </c>
      <c r="H6" s="5" t="inlineStr"/>
      <c r="I6" s="5" t="inlineStr">
        <is>
          <t>未测</t>
        </is>
      </c>
      <c r="J6" s="5" t="inlineStr"/>
      <c r="K6" s="5" t="inlineStr"/>
      <c r="L6" s="5" t="inlineStr"/>
      <c r="M6" s="5" t="inlineStr"/>
    </row>
    <row r="7" ht="42" customHeight="1">
      <c r="A7" s="6" t="inlineStr">
        <is>
          <t>SG-UI-006</t>
        </is>
      </c>
      <c r="B7" s="6" t="inlineStr">
        <is>
          <t>返回链路</t>
        </is>
      </c>
      <c r="C7" s="6" t="inlineStr">
        <is>
          <t>P2</t>
        </is>
      </c>
      <c r="D7" s="6" t="inlineStr">
        <is>
          <t>体验</t>
        </is>
      </c>
      <c r="E7" s="6" t="inlineStr">
        <is>
          <t>各页面可进入</t>
        </is>
      </c>
      <c r="F7" s="6" t="inlineStr">
        <is>
          <t>使用页面返回/系统返回</t>
        </is>
      </c>
      <c r="G7" s="6" t="inlineStr">
        <is>
          <t>不出现死路或空白页</t>
        </is>
      </c>
      <c r="H7" s="6" t="inlineStr"/>
      <c r="I7" s="6" t="inlineStr">
        <is>
          <t>未测</t>
        </is>
      </c>
      <c r="J7" s="6" t="inlineStr"/>
      <c r="K7" s="6" t="inlineStr"/>
      <c r="L7" s="6" t="inlineStr"/>
      <c r="M7" s="6" t="inlineStr"/>
    </row>
  </sheetData>
  <autoFilter ref="A1:M7"/>
  <conditionalFormatting sqref="I2">
    <cfRule type="expression" priority="1" dxfId="0">
      <formula>$I2="通过"</formula>
    </cfRule>
    <cfRule type="expression" priority="2" dxfId="1">
      <formula>$I2="失败"</formula>
    </cfRule>
    <cfRule type="expression" priority="3" dxfId="2">
      <formula>$I2="阻塞"</formula>
    </cfRule>
  </conditionalFormatting>
  <conditionalFormatting sqref="I3">
    <cfRule type="expression" priority="4" dxfId="0">
      <formula>$I3="通过"</formula>
    </cfRule>
    <cfRule type="expression" priority="5" dxfId="1">
      <formula>$I3="失败"</formula>
    </cfRule>
    <cfRule type="expression" priority="6" dxfId="2">
      <formula>$I3="阻塞"</formula>
    </cfRule>
  </conditionalFormatting>
  <conditionalFormatting sqref="I4">
    <cfRule type="expression" priority="7" dxfId="0">
      <formula>$I4="通过"</formula>
    </cfRule>
    <cfRule type="expression" priority="8" dxfId="1">
      <formula>$I4="失败"</formula>
    </cfRule>
    <cfRule type="expression" priority="9" dxfId="2">
      <formula>$I4="阻塞"</formula>
    </cfRule>
  </conditionalFormatting>
  <conditionalFormatting sqref="I5">
    <cfRule type="expression" priority="10" dxfId="0">
      <formula>$I5="通过"</formula>
    </cfRule>
    <cfRule type="expression" priority="11" dxfId="1">
      <formula>$I5="失败"</formula>
    </cfRule>
    <cfRule type="expression" priority="12" dxfId="2">
      <formula>$I5="阻塞"</formula>
    </cfRule>
  </conditionalFormatting>
  <conditionalFormatting sqref="I6">
    <cfRule type="expression" priority="13" dxfId="0">
      <formula>$I6="通过"</formula>
    </cfRule>
    <cfRule type="expression" priority="14" dxfId="1">
      <formula>$I6="失败"</formula>
    </cfRule>
    <cfRule type="expression" priority="15" dxfId="2">
      <formula>$I6="阻塞"</formula>
    </cfRule>
  </conditionalFormatting>
  <conditionalFormatting sqref="I7">
    <cfRule type="expression" priority="16" dxfId="0">
      <formula>$I7="通过"</formula>
    </cfRule>
    <cfRule type="expression" priority="17" dxfId="1">
      <formula>$I7="失败"</formula>
    </cfRule>
    <cfRule type="expression" priority="18" dxfId="2">
      <formula>$I7="阻塞"</formula>
    </cfRule>
  </conditionalFormatting>
  <dataValidations count="2">
    <dataValidation sqref="I2:I7" showDropDown="0" showInputMessage="0" showErrorMessage="0" allowBlank="1" type="list">
      <formula1>"未测,通过,失败,阻塞,跳过"</formula1>
    </dataValidation>
    <dataValidation sqref="C2:C7" showDropDown="0" showInputMessage="0" showErrorMessage="0" allowBlank="1" type="list">
      <formula1>"P0,P1,P2,P3"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8" customWidth="1" min="3" max="3"/>
    <col width="44" customWidth="1" min="4" max="4"/>
    <col width="34" customWidth="1" min="5" max="5"/>
    <col width="28" customWidth="1" min="6" max="6"/>
    <col width="10" customWidth="1" min="7" max="7"/>
    <col width="14" customWidth="1" min="8" max="8"/>
    <col width="12" customWidth="1" min="9" max="9"/>
    <col width="24" customWidth="1" min="10" max="10"/>
  </cols>
  <sheetData>
    <row r="1" ht="28" customHeight="1">
      <c r="A1" s="4" t="inlineStr">
        <is>
          <t>检查ID</t>
        </is>
      </c>
      <c r="B1" s="4" t="inlineStr">
        <is>
          <t>检查项</t>
        </is>
      </c>
      <c r="C1" s="4" t="inlineStr">
        <is>
          <t>优先级</t>
        </is>
      </c>
      <c r="D1" s="4" t="inlineStr">
        <is>
          <t>检查方法</t>
        </is>
      </c>
      <c r="E1" s="4" t="inlineStr">
        <is>
          <t>预期结果</t>
        </is>
      </c>
      <c r="F1" s="4" t="inlineStr">
        <is>
          <t>实际结果</t>
        </is>
      </c>
      <c r="G1" s="4" t="inlineStr">
        <is>
          <t>状态</t>
        </is>
      </c>
      <c r="H1" s="4" t="inlineStr">
        <is>
          <t>缺陷ID</t>
        </is>
      </c>
      <c r="I1" s="4" t="inlineStr">
        <is>
          <t>负责人</t>
        </is>
      </c>
      <c r="J1" s="4" t="inlineStr">
        <is>
          <t>备注</t>
        </is>
      </c>
    </row>
    <row r="2" ht="42" customHeight="1">
      <c r="A2" s="5" t="inlineStr">
        <is>
          <t>SG-CHK-001</t>
        </is>
      </c>
      <c r="B2" s="5" t="inlineStr">
        <is>
          <t>Smoke check</t>
        </is>
      </c>
      <c r="C2" s="5" t="inlineStr">
        <is>
          <t>P0</t>
        </is>
      </c>
      <c r="D2" s="5" t="inlineStr">
        <is>
          <t>运行 node scripts\surego-smoke-check.mjs</t>
        </is>
      </c>
      <c r="E2" s="5" t="inlineStr">
        <is>
          <t>通过</t>
        </is>
      </c>
      <c r="F2" s="5" t="inlineStr"/>
      <c r="G2" s="5" t="inlineStr">
        <is>
          <t>未测</t>
        </is>
      </c>
      <c r="H2" s="5" t="inlineStr"/>
      <c r="I2" s="5" t="inlineStr"/>
      <c r="J2" s="5" t="inlineStr"/>
    </row>
    <row r="3" ht="42" customHeight="1">
      <c r="A3" s="6" t="inlineStr">
        <is>
          <t>SG-CHK-002</t>
        </is>
      </c>
      <c r="B3" s="6" t="inlineStr">
        <is>
          <t>Release check</t>
        </is>
      </c>
      <c r="C3" s="6" t="inlineStr">
        <is>
          <t>P0</t>
        </is>
      </c>
      <c r="D3" s="6" t="inlineStr">
        <is>
          <t>运行 node scripts\surego-release-check.mjs</t>
        </is>
      </c>
      <c r="E3" s="6" t="inlineStr">
        <is>
          <t>通过</t>
        </is>
      </c>
      <c r="F3" s="6" t="inlineStr"/>
      <c r="G3" s="6" t="inlineStr">
        <is>
          <t>未测</t>
        </is>
      </c>
      <c r="H3" s="6" t="inlineStr"/>
      <c r="I3" s="6" t="inlineStr"/>
      <c r="J3" s="6" t="inlineStr"/>
    </row>
    <row r="4" ht="42" customHeight="1">
      <c r="A4" s="5" t="inlineStr">
        <is>
          <t>SG-CHK-003</t>
        </is>
      </c>
      <c r="B4" s="5" t="inlineStr">
        <is>
          <t>Cloud integration static check</t>
        </is>
      </c>
      <c r="C4" s="5" t="inlineStr">
        <is>
          <t>P0</t>
        </is>
      </c>
      <c r="D4" s="5" t="inlineStr">
        <is>
          <t>运行 node scripts\surego-cloud-integration-check.mjs</t>
        </is>
      </c>
      <c r="E4" s="5" t="inlineStr">
        <is>
          <t>通过</t>
        </is>
      </c>
      <c r="F4" s="5" t="inlineStr"/>
      <c r="G4" s="5" t="inlineStr">
        <is>
          <t>未测</t>
        </is>
      </c>
      <c r="H4" s="5" t="inlineStr"/>
      <c r="I4" s="5" t="inlineStr"/>
      <c r="J4" s="5" t="inlineStr"/>
    </row>
    <row r="5" ht="42" customHeight="1">
      <c r="A5" s="6" t="inlineStr">
        <is>
          <t>SG-CHK-004</t>
        </is>
      </c>
      <c r="B5" s="6" t="inlineStr">
        <is>
          <t>微信开发者工具编译</t>
        </is>
      </c>
      <c r="C5" s="6" t="inlineStr">
        <is>
          <t>P0</t>
        </is>
      </c>
      <c r="D5" s="6" t="inlineStr">
        <is>
          <t>发行后导入 build/mp-weixin 并编译</t>
        </is>
      </c>
      <c r="E5" s="6" t="inlineStr">
        <is>
          <t>无编译错误</t>
        </is>
      </c>
      <c r="F5" s="6" t="inlineStr"/>
      <c r="G5" s="6" t="inlineStr">
        <is>
          <t>未测</t>
        </is>
      </c>
      <c r="H5" s="6" t="inlineStr"/>
      <c r="I5" s="6" t="inlineStr"/>
      <c r="J5" s="6" t="inlineStr"/>
    </row>
    <row r="6" ht="42" customHeight="1">
      <c r="A6" s="5" t="inlineStr">
        <is>
          <t>SG-CHK-005</t>
        </is>
      </c>
      <c r="B6" s="5" t="inlineStr">
        <is>
          <t>合法域名</t>
        </is>
      </c>
      <c r="C6" s="5" t="inlineStr">
        <is>
          <t>P0</t>
        </is>
      </c>
      <c r="D6" s="5" t="inlineStr">
        <is>
          <t>真机/体验版观察控制台和页面资源</t>
        </is>
      </c>
      <c r="E6" s="5" t="inlineStr">
        <is>
          <t>request/upload/download 无域名报错</t>
        </is>
      </c>
      <c r="F6" s="5" t="inlineStr"/>
      <c r="G6" s="5" t="inlineStr">
        <is>
          <t>未测</t>
        </is>
      </c>
      <c r="H6" s="5" t="inlineStr"/>
      <c r="I6" s="5" t="inlineStr"/>
      <c r="J6" s="5" t="inlineStr"/>
    </row>
    <row r="7" ht="42" customHeight="1">
      <c r="A7" s="6" t="inlineStr">
        <is>
          <t>SG-CHK-006</t>
        </is>
      </c>
      <c r="B7" s="6" t="inlineStr">
        <is>
          <t>控制台错误</t>
        </is>
      </c>
      <c r="C7" s="6" t="inlineStr">
        <is>
          <t>P1</t>
        </is>
      </c>
      <c r="D7" s="6" t="inlineStr">
        <is>
          <t>运行核心流程并查看 Console</t>
        </is>
      </c>
      <c r="E7" s="6" t="inlineStr">
        <is>
          <t>无 P0/P1 JS 报错</t>
        </is>
      </c>
      <c r="F7" s="6" t="inlineStr"/>
      <c r="G7" s="6" t="inlineStr">
        <is>
          <t>未测</t>
        </is>
      </c>
      <c r="H7" s="6" t="inlineStr"/>
      <c r="I7" s="6" t="inlineStr"/>
      <c r="J7" s="6" t="inlineStr"/>
    </row>
  </sheetData>
  <autoFilter ref="A1:J7"/>
  <dataValidations count="2">
    <dataValidation sqref="G2:G7" showDropDown="0" showInputMessage="0" showErrorMessage="0" allowBlank="1" type="list">
      <formula1>"未测,通过,失败,阻塞,跳过"</formula1>
    </dataValidation>
    <dataValidation sqref="C2:C7" showDropDown="0" showInputMessage="0" showErrorMessage="0" allowBlank="1" type="list">
      <formula1>"P0,P1,P2,P3"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2" customWidth="1" min="2" max="2"/>
    <col width="20" customWidth="1" min="3" max="3"/>
    <col width="34" customWidth="1" min="4" max="4"/>
  </cols>
  <sheetData>
    <row r="1" ht="28" customHeight="1">
      <c r="A1" s="4" t="inlineStr">
        <is>
          <t>等级</t>
        </is>
      </c>
      <c r="B1" s="4" t="inlineStr">
        <is>
          <t>通过标准</t>
        </is>
      </c>
      <c r="C1" s="4" t="inlineStr">
        <is>
          <t>判定结果</t>
        </is>
      </c>
      <c r="D1" s="4" t="inlineStr">
        <is>
          <t>备注</t>
        </is>
      </c>
    </row>
    <row r="2" ht="42" customHeight="1">
      <c r="A2" s="5" t="inlineStr">
        <is>
          <t>可进入体验测试</t>
        </is>
      </c>
      <c r="B2" s="5" t="inlineStr">
        <is>
          <t>P0 全部通过，P1 无阻塞或有明确规避方案</t>
        </is>
      </c>
      <c r="C2" s="5" t="inlineStr"/>
      <c r="D2" s="5" t="inlineStr"/>
    </row>
    <row r="3" ht="42" customHeight="1">
      <c r="A3" s="6" t="inlineStr">
        <is>
          <t>可小范围试运营</t>
        </is>
      </c>
      <c r="B3" s="6" t="inlineStr">
        <is>
          <t>P0 全部通过，P1 通过率 &gt;= 95%，真实云端数据跨账号一致</t>
        </is>
      </c>
      <c r="C3" s="6" t="inlineStr"/>
      <c r="D3" s="6" t="inlineStr"/>
    </row>
    <row r="4" ht="42" customHeight="1">
      <c r="A4" s="5" t="inlineStr">
        <is>
          <t>暂停试运营</t>
        </is>
      </c>
      <c r="B4" s="5" t="inlineStr">
        <is>
          <t>任一 P0 失败，或登录/创建/报名/审核/支付/签到主链路断裂</t>
        </is>
      </c>
      <c r="C4" s="5" t="inlineStr"/>
      <c r="D4" s="5" t="inlineStr"/>
    </row>
  </sheetData>
  <autoFilter ref="A1:D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2026-04-29T12:50:18Z</dcterms:created>
  <dcterms:modified xmlns:dcterms="http://purl.org/dc/terms/" xmlns:xsi="http://www.w3.org/2001/XMLSchema-instance" xsi:type="dcterms:W3CDTF">2026-04-29T12:50:18Z</dcterms:modified>
</cp:coreProperties>
</file>